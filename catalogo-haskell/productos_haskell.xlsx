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ductos" sheetId="1" state="visible" r:id="rId1"/>
    <sheet xmlns:r="http://schemas.openxmlformats.org/officeDocument/2006/relationships" name="Parametros_PEN" sheetId="2" state="visible" r:id="rId2"/>
    <sheet xmlns:r="http://schemas.openxmlformats.org/officeDocument/2006/relationships" name="Categorias_Lineas" sheetId="3" state="visible" r:id="rId3"/>
    <sheet xmlns:r="http://schemas.openxmlformats.org/officeDocument/2006/relationships" name="Notas_Metodologicas" sheetId="4" state="visible" r:id="rId4"/>
  </sheets>
  <definedNames>
    <definedName name="_xlnm._FilterDatabase" localSheetId="0" hidden="1">'Productos'!$A$1:$AP$1</definedName>
  </definedNames>
  <calcPr calcId="124519" fullCalcOnLoad="1" refMode="A1" iterate="0" iterateCount="100" iterateDelta="0.0001"/>
</workbook>
</file>

<file path=xl/styles.xml><?xml version="1.0" encoding="utf-8"?>
<styleSheet xmlns="http://schemas.openxmlformats.org/spreadsheetml/2006/main">
  <numFmts count="3">
    <numFmt numFmtId="164" formatCode="#,##0.00&quot; R$&quot;"/>
    <numFmt numFmtId="165" formatCode="0.0%"/>
    <numFmt numFmtId="166" formatCode="#,##0.00&quot; S/&quot;"/>
  </numFmts>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10"/>
    </font>
    <font>
      <name val="Arial"/>
      <charset val="1"/>
      <family val="0"/>
      <b val="1"/>
      <color rgb="FF0000FF"/>
      <sz val="11"/>
    </font>
    <font>
      <name val="Arial"/>
      <charset val="1"/>
      <family val="0"/>
      <b val="1"/>
      <sz val="10"/>
    </font>
    <font>
      <name val="Arial"/>
      <sz val="10"/>
    </font>
  </fonts>
  <fills count="5">
    <fill>
      <patternFill/>
    </fill>
    <fill>
      <patternFill patternType="gray125"/>
    </fill>
    <fill>
      <patternFill patternType="solid">
        <fgColor rgb="FF1F4A2E"/>
        <bgColor rgb="FF333300"/>
      </patternFill>
    </fill>
    <fill>
      <patternFill patternType="solid">
        <fgColor rgb="FFFFFF00"/>
        <bgColor rgb="FFFFFF00"/>
      </patternFill>
    </fill>
    <fill>
      <patternFill patternType="solid">
        <fgColor rgb="FFFFF2CC"/>
        <bgColor rgb="FFFFFF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9">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0" borderId="0" applyAlignment="1" pivotButton="0" quotePrefix="0" xfId="0">
      <alignment horizontal="general" vertical="top" wrapText="1"/>
    </xf>
    <xf numFmtId="164" fontId="5" fillId="0" borderId="0" applyAlignment="1" pivotButton="0" quotePrefix="0" xfId="0">
      <alignment horizontal="general" vertical="top" wrapText="1"/>
    </xf>
    <xf numFmtId="165" fontId="5" fillId="0" borderId="0" applyAlignment="1" pivotButton="0" quotePrefix="0" xfId="0">
      <alignment horizontal="general" vertical="top" wrapText="1"/>
    </xf>
    <xf numFmtId="0" fontId="5" fillId="0" borderId="0" applyAlignment="1" pivotButton="0" quotePrefix="0" xfId="0">
      <alignment horizontal="general" vertical="top" wrapText="1"/>
    </xf>
    <xf numFmtId="166" fontId="5" fillId="0" borderId="0" applyAlignment="1" pivotButton="0" quotePrefix="0" xfId="0">
      <alignment horizontal="general" vertical="bottom"/>
    </xf>
    <xf numFmtId="0" fontId="4" fillId="2" borderId="0" applyAlignment="1" pivotButton="0" quotePrefix="0" xfId="0">
      <alignment horizontal="general" vertical="bottom"/>
    </xf>
    <xf numFmtId="2" fontId="6" fillId="3" borderId="0" applyAlignment="1" pivotButton="0" quotePrefix="0" xfId="0">
      <alignment horizontal="general" vertical="bottom"/>
    </xf>
    <xf numFmtId="9" fontId="6" fillId="3" borderId="0" applyAlignment="1" pivotButton="0" quotePrefix="0" xfId="0">
      <alignment horizontal="general" vertical="bottom"/>
    </xf>
    <xf numFmtId="0" fontId="7" fillId="0" borderId="0" applyAlignment="1" pivotButton="0" quotePrefix="0" xfId="0">
      <alignment horizontal="general" vertical="bottom"/>
    </xf>
    <xf numFmtId="0" fontId="5" fillId="0" borderId="0" applyAlignment="1" pivotButton="0" quotePrefix="0" xfId="0">
      <alignment horizontal="general" vertical="bottom"/>
    </xf>
    <xf numFmtId="0" fontId="4" fillId="2" borderId="0" applyAlignment="1" pivotButton="0" quotePrefix="0" xfId="0">
      <alignment horizontal="center" vertical="bottom" wrapText="1"/>
    </xf>
    <xf numFmtId="0" fontId="7" fillId="4"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0" borderId="0" applyAlignment="1" pivotButton="0" quotePrefix="0" xfId="0">
      <alignment horizontal="general" vertical="top" wrapText="1"/>
    </xf>
    <xf numFmtId="164" fontId="5" fillId="0" borderId="0" applyAlignment="1" pivotButton="0" quotePrefix="0" xfId="0">
      <alignment horizontal="general" vertical="top" wrapText="1"/>
    </xf>
    <xf numFmtId="165" fontId="5" fillId="0" borderId="0" applyAlignment="1" pivotButton="0" quotePrefix="0" xfId="0">
      <alignment horizontal="general" vertical="top" wrapText="1"/>
    </xf>
    <xf numFmtId="0" fontId="8" fillId="0" borderId="0" applyAlignment="1" pivotButton="0" quotePrefix="0" xfId="0">
      <alignment horizontal="general" vertical="top" wrapText="1"/>
    </xf>
    <xf numFmtId="166" fontId="5" fillId="0" borderId="0" applyAlignment="1" pivotButton="0" quotePrefix="0" xfId="0">
      <alignment horizontal="general" vertical="bottom"/>
    </xf>
    <xf numFmtId="0" fontId="4" fillId="2" borderId="0" applyAlignment="1" pivotButton="0" quotePrefix="0" xfId="0">
      <alignment horizontal="general" vertical="bottom"/>
    </xf>
    <xf numFmtId="2" fontId="6" fillId="3" borderId="0" applyAlignment="1" pivotButton="0" quotePrefix="0" xfId="0">
      <alignment horizontal="general" vertical="bottom"/>
    </xf>
    <xf numFmtId="9" fontId="6" fillId="3" borderId="0" applyAlignment="1" pivotButton="0" quotePrefix="0" xfId="0">
      <alignment horizontal="general" vertical="bottom"/>
    </xf>
    <xf numFmtId="0" fontId="7" fillId="0" borderId="0" applyAlignment="1" pivotButton="0" quotePrefix="0" xfId="0">
      <alignment horizontal="general" vertical="bottom"/>
    </xf>
    <xf numFmtId="0" fontId="5" fillId="0" borderId="0" applyAlignment="1" pivotButton="0" quotePrefix="0" xfId="0">
      <alignment horizontal="general" vertical="bottom"/>
    </xf>
    <xf numFmtId="0" fontId="4" fillId="2" borderId="0" applyAlignment="1" pivotButton="0" quotePrefix="0" xfId="0">
      <alignment horizontal="center" vertical="bottom" wrapText="1"/>
    </xf>
    <xf numFmtId="0" fontId="7" fillId="4"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patternType="solid">
          <fgColor rgb="FF1F4A2E"/>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4A2E"/>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P144"/>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0" customWidth="1" style="14" min="1" max="1"/>
    <col width="30" customWidth="1" style="14" min="2" max="2"/>
    <col width="10" customWidth="1" style="14" min="3" max="4"/>
    <col width="32" customWidth="1" style="14" min="5" max="6"/>
    <col width="16" customWidth="1" style="14" min="7" max="7"/>
    <col width="20" customWidth="1" style="14" min="8" max="10"/>
    <col width="22" customWidth="1" style="14" min="11" max="11"/>
    <col width="18" customWidth="1" style="14" min="12" max="12"/>
    <col width="20" customWidth="1" style="14" min="13" max="13"/>
    <col width="12" customWidth="1" style="14" min="14" max="14"/>
    <col width="10" customWidth="1" style="14" min="15" max="15"/>
    <col width="8" customWidth="1" style="14" min="16" max="16"/>
    <col width="14" customWidth="1" style="14" min="17" max="18"/>
    <col width="12" customWidth="1" style="14" min="19" max="19"/>
    <col width="10" customWidth="1" style="14" min="20" max="21"/>
    <col width="15" customWidth="1" style="14" min="22" max="22"/>
    <col width="45" customWidth="1" style="14" min="23" max="23"/>
    <col width="15" customWidth="1" style="14" min="24" max="24"/>
    <col width="45" customWidth="1" style="14" min="25" max="25"/>
    <col width="15" customWidth="1" style="14" min="26" max="26"/>
    <col width="35" customWidth="1" style="14" min="27" max="27"/>
    <col width="15" customWidth="1" style="14" min="28" max="28"/>
    <col width="40" customWidth="1" style="14" min="29" max="29"/>
    <col width="22" customWidth="1" style="14" min="30" max="30"/>
    <col width="25" customWidth="1" style="14" min="31" max="31"/>
    <col width="18" customWidth="1" style="14" min="32" max="32"/>
    <col width="15" customWidth="1" style="14" min="33" max="35"/>
    <col width="30" customWidth="1" style="14" min="36" max="36"/>
    <col width="40" customWidth="1" style="14" min="37" max="37"/>
    <col width="14" customWidth="1" style="14" min="38" max="38"/>
    <col width="18" customWidth="1" style="14" min="39" max="42"/>
  </cols>
  <sheetData>
    <row r="1" ht="35.05" customHeight="1" s="15">
      <c r="A1" s="16" t="inlineStr">
        <is>
          <t>id</t>
        </is>
      </c>
      <c r="B1" s="16" t="inlineStr">
        <is>
          <t>slug</t>
        </is>
      </c>
      <c r="C1" s="16" t="inlineStr">
        <is>
          <t>sku</t>
        </is>
      </c>
      <c r="D1" s="16" t="inlineStr">
        <is>
          <t>marca</t>
        </is>
      </c>
      <c r="E1" s="16" t="inlineStr">
        <is>
          <t>nombre_original_pt</t>
        </is>
      </c>
      <c r="F1" s="16" t="inlineStr">
        <is>
          <t>nombre_es</t>
        </is>
      </c>
      <c r="G1" s="16" t="inlineStr">
        <is>
          <t>linea</t>
        </is>
      </c>
      <c r="H1" s="16" t="inlineStr">
        <is>
          <t>categoria_original_pt</t>
        </is>
      </c>
      <c r="I1" s="16" t="inlineStr">
        <is>
          <t>categoria_es</t>
        </is>
      </c>
      <c r="J1" s="16" t="inlineStr">
        <is>
          <t>subcategoria_original_pt</t>
        </is>
      </c>
      <c r="K1" s="16" t="inlineStr">
        <is>
          <t>subcategoria_es</t>
        </is>
      </c>
      <c r="L1" s="16" t="inlineStr">
        <is>
          <t>tipo_original_pt</t>
        </is>
      </c>
      <c r="M1" s="16" t="inlineStr">
        <is>
          <t>tipo_es</t>
        </is>
      </c>
      <c r="N1" s="16" t="inlineStr">
        <is>
          <t>presentacion</t>
        </is>
      </c>
      <c r="O1" s="16" t="inlineStr">
        <is>
          <t>cantidad</t>
        </is>
      </c>
      <c r="P1" s="16" t="inlineStr">
        <is>
          <t>unidad</t>
        </is>
      </c>
      <c r="Q1" s="16" t="inlineStr">
        <is>
          <t>precio_regular_brl</t>
        </is>
      </c>
      <c r="R1" s="16" t="inlineStr">
        <is>
          <t>precio_oferta_brl</t>
        </is>
      </c>
      <c r="S1" s="16" t="inlineStr">
        <is>
          <t>porcentaje_descuento</t>
        </is>
      </c>
      <c r="T1" s="16" t="inlineStr">
        <is>
          <t>en_oferta</t>
        </is>
      </c>
      <c r="U1" s="16" t="inlineStr">
        <is>
          <t>disponible</t>
        </is>
      </c>
      <c r="V1" s="16" t="inlineStr">
        <is>
          <t>descripcion_original_pt</t>
        </is>
      </c>
      <c r="W1" s="16" t="inlineStr">
        <is>
          <t>descripcion_es</t>
        </is>
      </c>
      <c r="X1" s="16" t="inlineStr">
        <is>
          <t>beneficios_original_pt</t>
        </is>
      </c>
      <c r="Y1" s="16" t="inlineStr">
        <is>
          <t>beneficios_es</t>
        </is>
      </c>
      <c r="Z1" s="16" t="inlineStr">
        <is>
          <t>propiedades_original_pt</t>
        </is>
      </c>
      <c r="AA1" s="16" t="inlineStr">
        <is>
          <t>propiedades_es</t>
        </is>
      </c>
      <c r="AB1" s="16" t="inlineStr">
        <is>
          <t>modo_uso_original_pt</t>
        </is>
      </c>
      <c r="AC1" s="16" t="inlineStr">
        <is>
          <t>modo_uso_es</t>
        </is>
      </c>
      <c r="AD1" s="16" t="inlineStr">
        <is>
          <t>activos_original_pt</t>
        </is>
      </c>
      <c r="AE1" s="16" t="inlineStr">
        <is>
          <t>activos_es</t>
        </is>
      </c>
      <c r="AF1" s="16" t="inlineStr">
        <is>
          <t>ingredientes_originales</t>
        </is>
      </c>
      <c r="AG1" s="16" t="inlineStr">
        <is>
          <t>imagen_principal_url</t>
        </is>
      </c>
      <c r="AH1" s="16" t="inlineStr">
        <is>
          <t>imagen_principal_local</t>
        </is>
      </c>
      <c r="AI1" s="16" t="inlineStr">
        <is>
          <t>imagenes_adicionales</t>
        </is>
      </c>
      <c r="AJ1" s="16" t="inlineStr">
        <is>
          <t>recomendado_para_es</t>
        </is>
      </c>
      <c r="AK1" s="16" t="inlineStr">
        <is>
          <t>url_origen</t>
        </is>
      </c>
      <c r="AL1" s="16" t="inlineStr">
        <is>
          <t>fecha_extraccion</t>
        </is>
      </c>
      <c r="AM1" s="16" t="inlineStr">
        <is>
          <t>precio_regular_pen</t>
        </is>
      </c>
      <c r="AN1" s="16" t="inlineStr">
        <is>
          <t>pvp_peru_regular_pen</t>
        </is>
      </c>
      <c r="AO1" s="16" t="inlineStr">
        <is>
          <t>precio_oferta_pen</t>
        </is>
      </c>
      <c r="AP1" s="16" t="inlineStr">
        <is>
          <t>pvp_peru_oferta_pen</t>
        </is>
      </c>
    </row>
    <row r="2" ht="46.25" customHeight="1" s="15">
      <c r="A2" s="17" t="inlineStr">
        <is>
          <t>HSK-0001</t>
        </is>
      </c>
      <c r="B2" s="17" t="inlineStr">
        <is>
          <t>tonico-activador-cavalo-forte-120-ml</t>
        </is>
      </c>
      <c r="C2" s="17" t="n"/>
      <c r="D2" s="17" t="inlineStr">
        <is>
          <t>Haskell</t>
        </is>
      </c>
      <c r="E2" s="17" t="inlineStr">
        <is>
          <t>Tonico Ativador Cavalo Forte 120ml</t>
        </is>
      </c>
      <c r="F2" s="17" t="inlineStr">
        <is>
          <t>Tonico activador Cavalo Forte 120 ml</t>
        </is>
      </c>
      <c r="G2" s="17" t="inlineStr">
        <is>
          <t>Cavalo Forte</t>
        </is>
      </c>
      <c r="H2" s="17" t="inlineStr">
        <is>
          <t>Tratamentos Capilares</t>
        </is>
      </c>
      <c r="I2" s="17" t="inlineStr">
        <is>
          <t>Tratamientos capilares</t>
        </is>
      </c>
      <c r="J2" s="17" t="inlineStr">
        <is>
          <t>Fortalecimento</t>
        </is>
      </c>
      <c r="K2" s="17" t="inlineStr">
        <is>
          <t>Fortalecimiento capilar</t>
        </is>
      </c>
      <c r="L2" s="17" t="inlineStr">
        <is>
          <t>Tonico</t>
        </is>
      </c>
      <c r="M2" s="17" t="inlineStr">
        <is>
          <t>Tonico capilar</t>
        </is>
      </c>
      <c r="N2" s="17" t="inlineStr">
        <is>
          <t>120 ml</t>
        </is>
      </c>
      <c r="O2" s="17" t="n">
        <v>120</v>
      </c>
      <c r="P2" s="17" t="inlineStr">
        <is>
          <t>ml</t>
        </is>
      </c>
      <c r="Q2" s="18" t="n">
        <v>56.9</v>
      </c>
      <c r="R2" s="18" t="n"/>
      <c r="S2" s="19">
        <f>IF(ISBLANK(R2),0,IFERROR((Q2-R2)/Q2,0))</f>
        <v/>
      </c>
      <c r="T2" s="17">
        <f>R2&lt;&gt;""</f>
        <v/>
      </c>
      <c r="U2" s="17">
        <f>TRUE()</f>
        <v/>
      </c>
      <c r="V2" s="17" t="n"/>
      <c r="W2" s="17" t="inlineStr">
        <is>
          <t>Tonico capilar de la linea Cavalo Forte, formulado para estimular el cuero cabelludo y acompanar el crecimiento saludable del cabello, como parte de una rutina de fortalecimiento.</t>
        </is>
      </c>
      <c r="X2" s="17" t="n"/>
      <c r="Y2" s="17" t="inlineStr">
        <is>
          <t>Estimula el cuero cabelludo | Contribuye al crecimiento capilar saludable | Fortalece la raiz del cabello</t>
        </is>
      </c>
      <c r="Z2" s="17" t="n"/>
      <c r="AA2" s="17" t="inlineStr">
        <is>
          <t>Fortalecedor | Estimulante del cuero cabelludo</t>
        </is>
      </c>
      <c r="AB2" s="17" t="n"/>
      <c r="AC2" s="17" t="inlineStr">
        <is>
          <t>Aplicar directamente sobre el cuero cabelludo limpio y masajear suavemente. No es necesario enjuagar.</t>
        </is>
      </c>
      <c r="AD2" s="17" t="inlineStr">
        <is>
          <t>Biotina | Pantenol | Queratina</t>
        </is>
      </c>
      <c r="AE2" s="17" t="inlineStr">
        <is>
          <t>Biotina | Pantenol | Queratina</t>
        </is>
      </c>
      <c r="AF2" s="17" t="n"/>
      <c r="AG2" s="17" t="n"/>
      <c r="AH2" s="20" t="inlineStr">
        <is>
          <t>tonico-ativador-cavalo-forte-120ml.webp</t>
        </is>
      </c>
      <c r="AI2" s="17" t="n"/>
      <c r="AJ2" s="17" t="inlineStr">
        <is>
          <t>Todo tipo de cabello, especialmente cabello debilitado o con caida</t>
        </is>
      </c>
      <c r="AK2" s="17" t="inlineStr">
        <is>
          <t>https://haskellcosmeticos.com.br/tratamentos-capilares/linha-cavalo-forte-haskell/</t>
        </is>
      </c>
      <c r="AL2" s="17" t="inlineStr">
        <is>
          <t>2026-07-24</t>
        </is>
      </c>
      <c r="AM2" s="21">
        <f>IF(ISBLANK(Q2),"",Q2*Parametros_PEN!$B$2)</f>
        <v/>
      </c>
      <c r="AN2" s="21">
        <f>IF(ISBLANK(Q2),"",Q2*Parametros_PEN!$B$2*(1+Parametros_PEN!$B$3))</f>
        <v/>
      </c>
      <c r="AO2" s="21">
        <f>IF(ISBLANK(R2),"",R2*Parametros_PEN!$B$2)</f>
        <v/>
      </c>
      <c r="AP2" s="21">
        <f>IF(ISBLANK(R2),"",R2*Parametros_PEN!$B$2*(1+Parametros_PEN!$B$3))</f>
        <v/>
      </c>
    </row>
    <row r="3" ht="46.25" customHeight="1" s="15">
      <c r="A3" s="17" t="inlineStr">
        <is>
          <t>HSK-0002</t>
        </is>
      </c>
      <c r="B3" s="17" t="inlineStr">
        <is>
          <t>champu-bendito-loiro-300-ml</t>
        </is>
      </c>
      <c r="C3" s="17" t="n"/>
      <c r="D3" s="17" t="inlineStr">
        <is>
          <t>Haskell</t>
        </is>
      </c>
      <c r="E3" s="17" t="inlineStr">
        <is>
          <t>Shampoo Bendito Loiro 300ml</t>
        </is>
      </c>
      <c r="F3" s="17" t="inlineStr">
        <is>
          <t>Champu Bendito Loiro 300 ml</t>
        </is>
      </c>
      <c r="G3" s="17" t="inlineStr">
        <is>
          <t>Bendito Loiro</t>
        </is>
      </c>
      <c r="H3" s="17" t="inlineStr">
        <is>
          <t>Tratamentos Capilares</t>
        </is>
      </c>
      <c r="I3" s="17" t="inlineStr">
        <is>
          <t>Tratamientos capilares</t>
        </is>
      </c>
      <c r="J3" s="17" t="inlineStr">
        <is>
          <t>Cabelos descoloridos</t>
        </is>
      </c>
      <c r="K3" s="17" t="inlineStr">
        <is>
          <t>Cabello decolorado</t>
        </is>
      </c>
      <c r="L3" s="17" t="inlineStr">
        <is>
          <t>Shampoo</t>
        </is>
      </c>
      <c r="M3" s="17" t="inlineStr">
        <is>
          <t>Champu</t>
        </is>
      </c>
      <c r="N3" s="17" t="inlineStr">
        <is>
          <t>300 ml</t>
        </is>
      </c>
      <c r="O3" s="17" t="n">
        <v>300</v>
      </c>
      <c r="P3" s="17" t="inlineStr">
        <is>
          <t>ml</t>
        </is>
      </c>
      <c r="Q3" s="18" t="n">
        <v>62.9</v>
      </c>
      <c r="R3" s="18" t="n"/>
      <c r="S3" s="19">
        <f>IF(ISBLANK(R3),0,IFERROR((Q3-R3)/Q3,0))</f>
        <v/>
      </c>
      <c r="T3" s="17">
        <f>R3&lt;&gt;""</f>
        <v/>
      </c>
      <c r="U3" s="17">
        <f>TRUE()</f>
        <v/>
      </c>
      <c r="V3" s="17" t="n"/>
      <c r="W3" s="17" t="inlineStr">
        <is>
          <t>Champu de limpieza suave de la linea Bendito Loiro, formulado para preparar el cabello decolorado antes del tratamiento, sin agredir la fibra capilar y manteniendo el pH equilibrado.</t>
        </is>
      </c>
      <c r="X3" s="17" t="n"/>
      <c r="Y3" s="17" t="inlineStr">
        <is>
          <t>Limpieza suave sin agredir los cabellos | Mantiene el pH equilibrado | Evita la rigidez del cabello</t>
        </is>
      </c>
      <c r="Z3" s="17" t="n"/>
      <c r="AA3" s="17" t="inlineStr">
        <is>
          <t>Limpiador suave | pH equilibrado</t>
        </is>
      </c>
      <c r="AB3" s="17" t="n"/>
      <c r="AC3" s="17" t="inlineStr">
        <is>
          <t>Aplicar sobre el cabello mojado, masajear el cuero cabelludo y enjuagar bien.</t>
        </is>
      </c>
      <c r="AD3" s="17" t="inlineStr">
        <is>
          <t>Complexo de proteinas | Vinagre balsamico de uva</t>
        </is>
      </c>
      <c r="AE3" s="17" t="inlineStr">
        <is>
          <t>Complejo de proteinas | Vinagre balsamico de uva</t>
        </is>
      </c>
      <c r="AF3" s="17" t="n"/>
      <c r="AG3" s="17" t="n"/>
      <c r="AH3" s="20" t="inlineStr">
        <is>
          <t>shampoo-bendito-loiro-300ml.webp</t>
        </is>
      </c>
      <c r="AI3" s="17" t="n"/>
      <c r="AJ3" s="17" t="inlineStr">
        <is>
          <t>Cabello decolorado o rubio con danos, elasticidad excesiva o porosidad</t>
        </is>
      </c>
      <c r="AK3" s="17" t="inlineStr">
        <is>
          <t>https://haskellcosmeticos.com.br/tratamentos-capilares/bendito-loiro/</t>
        </is>
      </c>
      <c r="AL3" s="17" t="inlineStr">
        <is>
          <t>2026-07-24</t>
        </is>
      </c>
      <c r="AM3" s="21">
        <f>IF(ISBLANK(Q3),"",Q3*Parametros_PEN!$B$2)</f>
        <v/>
      </c>
      <c r="AN3" s="21">
        <f>IF(ISBLANK(Q3),"",Q3*Parametros_PEN!$B$2*(1+Parametros_PEN!$B$3))</f>
        <v/>
      </c>
      <c r="AO3" s="21">
        <f>IF(ISBLANK(R3),"",R3*Parametros_PEN!$B$2)</f>
        <v/>
      </c>
      <c r="AP3" s="21">
        <f>IF(ISBLANK(R3),"",R3*Parametros_PEN!$B$2*(1+Parametros_PEN!$B$3))</f>
        <v/>
      </c>
    </row>
    <row r="4" ht="46.25" customHeight="1" s="15">
      <c r="A4" s="17" t="inlineStr">
        <is>
          <t>HSK-0003</t>
        </is>
      </c>
      <c r="B4" s="17" t="inlineStr">
        <is>
          <t>champu-bendito-loiro-500-ml</t>
        </is>
      </c>
      <c r="C4" s="17" t="n"/>
      <c r="D4" s="17" t="inlineStr">
        <is>
          <t>Haskell</t>
        </is>
      </c>
      <c r="E4" s="17" t="inlineStr">
        <is>
          <t>Shampoo Bendito Loiro 500ml</t>
        </is>
      </c>
      <c r="F4" s="17" t="inlineStr">
        <is>
          <t>Champu Bendito Loiro 500 ml</t>
        </is>
      </c>
      <c r="G4" s="17" t="inlineStr">
        <is>
          <t>Bendito Loiro</t>
        </is>
      </c>
      <c r="H4" s="17" t="inlineStr">
        <is>
          <t>Tratamentos Capilares</t>
        </is>
      </c>
      <c r="I4" s="17" t="inlineStr">
        <is>
          <t>Tratamientos capilares</t>
        </is>
      </c>
      <c r="J4" s="17" t="inlineStr">
        <is>
          <t>Cabelos descoloridos</t>
        </is>
      </c>
      <c r="K4" s="17" t="inlineStr">
        <is>
          <t>Cabello decolorado</t>
        </is>
      </c>
      <c r="L4" s="17" t="inlineStr">
        <is>
          <t>Shampoo</t>
        </is>
      </c>
      <c r="M4" s="17" t="inlineStr">
        <is>
          <t>Champu</t>
        </is>
      </c>
      <c r="N4" s="17" t="inlineStr">
        <is>
          <t>500 ml</t>
        </is>
      </c>
      <c r="O4" s="17" t="n">
        <v>500</v>
      </c>
      <c r="P4" s="17" t="inlineStr">
        <is>
          <t>ml</t>
        </is>
      </c>
      <c r="Q4" s="18" t="n">
        <v>84.90000000000001</v>
      </c>
      <c r="R4" s="18" t="n"/>
      <c r="S4" s="19">
        <f>IF(ISBLANK(R4),0,IFERROR((Q4-R4)/Q4,0))</f>
        <v/>
      </c>
      <c r="T4" s="17">
        <f>R4&lt;&gt;""</f>
        <v/>
      </c>
      <c r="U4" s="17">
        <f>TRUE()</f>
        <v/>
      </c>
      <c r="V4" s="17" t="n"/>
      <c r="W4" s="17" t="inlineStr">
        <is>
          <t>Champu de limpieza suave de la linea Bendito Loiro, formulado para preparar el cabello decolorado antes del tratamiento, sin agredir la fibra capilar y manteniendo el pH equilibrado.</t>
        </is>
      </c>
      <c r="X4" s="17" t="n"/>
      <c r="Y4" s="17" t="inlineStr">
        <is>
          <t>Limpieza suave sin agredir los cabellos | Mantiene el pH equilibrado | Evita la rigidez del cabello</t>
        </is>
      </c>
      <c r="Z4" s="17" t="n"/>
      <c r="AA4" s="17" t="inlineStr">
        <is>
          <t>Limpiador suave | pH equilibrado</t>
        </is>
      </c>
      <c r="AB4" s="17" t="n"/>
      <c r="AC4" s="17" t="inlineStr">
        <is>
          <t>Aplicar sobre el cabello mojado, masajear el cuero cabelludo y enjuagar bien.</t>
        </is>
      </c>
      <c r="AD4" s="17" t="inlineStr">
        <is>
          <t>Complexo de proteinas | Vinagre balsamico de uva</t>
        </is>
      </c>
      <c r="AE4" s="17" t="inlineStr">
        <is>
          <t>Complejo de proteinas | Vinagre balsamico de uva</t>
        </is>
      </c>
      <c r="AF4" s="17" t="n"/>
      <c r="AG4" s="17" t="n"/>
      <c r="AH4" s="20" t="inlineStr">
        <is>
          <t>shampoo-bendito-loiro-500ml.webp</t>
        </is>
      </c>
      <c r="AI4" s="17" t="n"/>
      <c r="AJ4" s="17" t="inlineStr">
        <is>
          <t>Cabello decolorado o rubio con danos, elasticidad excesiva o porosidad</t>
        </is>
      </c>
      <c r="AK4" s="17" t="inlineStr">
        <is>
          <t>https://haskellcosmeticos.com.br/tratamentos-capilares/bendito-loiro/</t>
        </is>
      </c>
      <c r="AL4" s="17" t="inlineStr">
        <is>
          <t>2026-07-24</t>
        </is>
      </c>
      <c r="AM4" s="21">
        <f>IF(ISBLANK(Q4),"",Q4*Parametros_PEN!$B$2)</f>
        <v/>
      </c>
      <c r="AN4" s="21">
        <f>IF(ISBLANK(Q4),"",Q4*Parametros_PEN!$B$2*(1+Parametros_PEN!$B$3))</f>
        <v/>
      </c>
      <c r="AO4" s="21">
        <f>IF(ISBLANK(R4),"",R4*Parametros_PEN!$B$2)</f>
        <v/>
      </c>
      <c r="AP4" s="21">
        <f>IF(ISBLANK(R4),"",R4*Parametros_PEN!$B$2*(1+Parametros_PEN!$B$3))</f>
        <v/>
      </c>
    </row>
    <row r="5" ht="46.25" customHeight="1" s="15">
      <c r="A5" s="17" t="inlineStr">
        <is>
          <t>HSK-0004</t>
        </is>
      </c>
      <c r="B5" s="17" t="inlineStr">
        <is>
          <t>acondicionador-bendito-loiro-300-ml</t>
        </is>
      </c>
      <c r="C5" s="17" t="n"/>
      <c r="D5" s="17" t="inlineStr">
        <is>
          <t>Haskell</t>
        </is>
      </c>
      <c r="E5" s="17" t="inlineStr">
        <is>
          <t>Condicionador Bendito Loiro 300ml</t>
        </is>
      </c>
      <c r="F5" s="17" t="inlineStr">
        <is>
          <t>Acondicionador Bendito Loiro 300 ml</t>
        </is>
      </c>
      <c r="G5" s="17" t="inlineStr">
        <is>
          <t>Bendito Loiro</t>
        </is>
      </c>
      <c r="H5" s="17" t="inlineStr">
        <is>
          <t>Tratamentos Capilares</t>
        </is>
      </c>
      <c r="I5" s="17" t="inlineStr">
        <is>
          <t>Tratamientos capilares</t>
        </is>
      </c>
      <c r="J5" s="17" t="inlineStr">
        <is>
          <t>Cabelos descoloridos</t>
        </is>
      </c>
      <c r="K5" s="17" t="inlineStr">
        <is>
          <t>Cabello decolorado</t>
        </is>
      </c>
      <c r="L5" s="17" t="inlineStr">
        <is>
          <t>Condicionador</t>
        </is>
      </c>
      <c r="M5" s="17" t="inlineStr">
        <is>
          <t>Acondicionador</t>
        </is>
      </c>
      <c r="N5" s="17" t="inlineStr">
        <is>
          <t>300 ml</t>
        </is>
      </c>
      <c r="O5" s="17" t="n">
        <v>300</v>
      </c>
      <c r="P5" s="17" t="inlineStr">
        <is>
          <t>ml</t>
        </is>
      </c>
      <c r="Q5" s="18" t="n">
        <v>62.9</v>
      </c>
      <c r="R5" s="18" t="n"/>
      <c r="S5" s="19">
        <f>IF(ISBLANK(R5),0,IFERROR((Q5-R5)/Q5,0))</f>
        <v/>
      </c>
      <c r="T5" s="17">
        <f>R5&lt;&gt;""</f>
        <v/>
      </c>
      <c r="U5" s="17">
        <f>TRUE()</f>
        <v/>
      </c>
      <c r="V5" s="17" t="n"/>
      <c r="W5" s="17" t="inlineStr">
        <is>
          <t>Acondicionador de la linea Bendito Loiro que sella las cuticulas, repone proteinas y reduce la electricidad estatica del cabello decolorado, aportando suavidad y liviandad.</t>
        </is>
      </c>
      <c r="X5" s="17" t="n"/>
      <c r="Y5" s="17" t="inlineStr">
        <is>
          <t>Sella las cuticulas | Reduce la electricidad estatica | Repone proteinas | Aporta suavidad y liviandad</t>
        </is>
      </c>
      <c r="Z5" s="17" t="n"/>
      <c r="AA5" s="17" t="inlineStr">
        <is>
          <t>Sellador de cuticulas | Reposicion de proteinas</t>
        </is>
      </c>
      <c r="AB5" s="17" t="n"/>
      <c r="AC5" s="17" t="inlineStr">
        <is>
          <t>Aplicar sobre el cabello lavado, de medios a puntas, dejar actuar unos minutos y enjuagar.</t>
        </is>
      </c>
      <c r="AD5" s="17" t="inlineStr">
        <is>
          <t>Complexo de proteinas | Vinagre balsamico de uva</t>
        </is>
      </c>
      <c r="AE5" s="17" t="inlineStr">
        <is>
          <t>Complejo de proteinas | Vinagre balsamico de uva</t>
        </is>
      </c>
      <c r="AF5" s="17" t="n"/>
      <c r="AG5" s="17" t="n"/>
      <c r="AH5" s="20" t="inlineStr">
        <is>
          <t>condicionador-bendito-loiro-300ml.webp</t>
        </is>
      </c>
      <c r="AI5" s="17" t="n"/>
      <c r="AJ5" s="17" t="inlineStr">
        <is>
          <t>Cabello decolorado o rubio con danos, elasticidad excesiva o porosidad</t>
        </is>
      </c>
      <c r="AK5" s="17" t="inlineStr">
        <is>
          <t>https://haskellcosmeticos.com.br/tratamentos-capilares/bendito-loiro/</t>
        </is>
      </c>
      <c r="AL5" s="17" t="inlineStr">
        <is>
          <t>2026-07-24</t>
        </is>
      </c>
      <c r="AM5" s="21">
        <f>IF(ISBLANK(Q5),"",Q5*Parametros_PEN!$B$2)</f>
        <v/>
      </c>
      <c r="AN5" s="21">
        <f>IF(ISBLANK(Q5),"",Q5*Parametros_PEN!$B$2*(1+Parametros_PEN!$B$3))</f>
        <v/>
      </c>
      <c r="AO5" s="21">
        <f>IF(ISBLANK(R5),"",R5*Parametros_PEN!$B$2)</f>
        <v/>
      </c>
      <c r="AP5" s="21">
        <f>IF(ISBLANK(R5),"",R5*Parametros_PEN!$B$2*(1+Parametros_PEN!$B$3))</f>
        <v/>
      </c>
    </row>
    <row r="6" ht="46.25" customHeight="1" s="15">
      <c r="A6" s="17" t="inlineStr">
        <is>
          <t>HSK-0005</t>
        </is>
      </c>
      <c r="B6" s="17" t="inlineStr">
        <is>
          <t>mascarilla-de-tratamiento-bendito-loiro-300-g</t>
        </is>
      </c>
      <c r="C6" s="17" t="n"/>
      <c r="D6" s="17" t="inlineStr">
        <is>
          <t>Haskell</t>
        </is>
      </c>
      <c r="E6" s="17" t="inlineStr">
        <is>
          <t>Mascara de Tratamento Bendito Loiro 300g</t>
        </is>
      </c>
      <c r="F6" s="17" t="inlineStr">
        <is>
          <t>Mascarilla de tratamiento Bendito Loiro 300 g</t>
        </is>
      </c>
      <c r="G6" s="17" t="inlineStr">
        <is>
          <t>Bendito Loiro</t>
        </is>
      </c>
      <c r="H6" s="17" t="inlineStr">
        <is>
          <t>Tratamentos Capilares</t>
        </is>
      </c>
      <c r="I6" s="17" t="inlineStr">
        <is>
          <t>Tratamientos capilares</t>
        </is>
      </c>
      <c r="J6" s="17" t="inlineStr">
        <is>
          <t>Cabelos descoloridos</t>
        </is>
      </c>
      <c r="K6" s="17" t="inlineStr">
        <is>
          <t>Cabello decolorado</t>
        </is>
      </c>
      <c r="L6" s="17" t="inlineStr">
        <is>
          <t>Mascara de Tratamento</t>
        </is>
      </c>
      <c r="M6" s="17" t="inlineStr">
        <is>
          <t>Mascarilla de tratamiento</t>
        </is>
      </c>
      <c r="N6" s="17" t="inlineStr">
        <is>
          <t>300 g</t>
        </is>
      </c>
      <c r="O6" s="17" t="n">
        <v>300</v>
      </c>
      <c r="P6" s="17" t="inlineStr">
        <is>
          <t>g</t>
        </is>
      </c>
      <c r="Q6" s="18" t="n">
        <v>74.90000000000001</v>
      </c>
      <c r="R6" s="18" t="n"/>
      <c r="S6" s="19">
        <f>IF(ISBLANK(R6),0,IFERROR((Q6-R6)/Q6,0))</f>
        <v/>
      </c>
      <c r="T6" s="17">
        <f>R6&lt;&gt;""</f>
        <v/>
      </c>
      <c r="U6" s="17">
        <f>TRUE()</f>
        <v/>
      </c>
      <c r="V6" s="17" t="n"/>
      <c r="W6" s="17" t="inlineStr">
        <is>
          <t>Mascarilla de alto poder reconstructor de la linea Bendito Loiro, indicada para el tratamiento profundo y la regeneracion de los danos causados por la decoloracion.</t>
        </is>
      </c>
      <c r="X6" s="17" t="n"/>
      <c r="Y6" s="17" t="inlineStr">
        <is>
          <t>Alto poder reconstructor | Tratamiento profundo | Regenera danos de la decoloracion</t>
        </is>
      </c>
      <c r="Z6" s="17" t="n"/>
      <c r="AA6" s="17" t="inlineStr">
        <is>
          <t>Reconstructora | Regeneradora</t>
        </is>
      </c>
      <c r="AB6" s="17" t="n"/>
      <c r="AC6" s="17" t="inlineStr">
        <is>
          <t>Aplicar sobre el cabello lavado, distribuir de medios a puntas y dejar actuar segun las indicaciones del envase antes de enjuagar.</t>
        </is>
      </c>
      <c r="AD6" s="17" t="inlineStr">
        <is>
          <t>Complexo de proteinas | Vinagre balsamico de uva</t>
        </is>
      </c>
      <c r="AE6" s="17" t="inlineStr">
        <is>
          <t>Complejo de proteinas | Vinagre balsamico de uva</t>
        </is>
      </c>
      <c r="AF6" s="17" t="n"/>
      <c r="AG6" s="17" t="n"/>
      <c r="AH6" s="20" t="inlineStr">
        <is>
          <t>mascara-de-tratamento-bendito-loiro-300g.webp</t>
        </is>
      </c>
      <c r="AI6" s="17" t="n"/>
      <c r="AJ6" s="17" t="inlineStr">
        <is>
          <t>Cabello decolorado o rubio con danos, elasticidad excesiva o porosidad</t>
        </is>
      </c>
      <c r="AK6" s="17" t="inlineStr">
        <is>
          <t>https://haskellcosmeticos.com.br/tratamentos-capilares/bendito-loiro/</t>
        </is>
      </c>
      <c r="AL6" s="17" t="inlineStr">
        <is>
          <t>2026-07-24</t>
        </is>
      </c>
      <c r="AM6" s="21">
        <f>IF(ISBLANK(Q6),"",Q6*Parametros_PEN!$B$2)</f>
        <v/>
      </c>
      <c r="AN6" s="21">
        <f>IF(ISBLANK(Q6),"",Q6*Parametros_PEN!$B$2*(1+Parametros_PEN!$B$3))</f>
        <v/>
      </c>
      <c r="AO6" s="21">
        <f>IF(ISBLANK(R6),"",R6*Parametros_PEN!$B$2)</f>
        <v/>
      </c>
      <c r="AP6" s="21">
        <f>IF(ISBLANK(R6),"",R6*Parametros_PEN!$B$2*(1+Parametros_PEN!$B$3))</f>
        <v/>
      </c>
    </row>
    <row r="7" ht="35.05" customHeight="1" s="15">
      <c r="A7" s="17" t="inlineStr">
        <is>
          <t>HSK-0006</t>
        </is>
      </c>
      <c r="B7" s="17" t="inlineStr">
        <is>
          <t>proteina-capilar-bendito-loiro-150-g</t>
        </is>
      </c>
      <c r="C7" s="17" t="n"/>
      <c r="D7" s="17" t="inlineStr">
        <is>
          <t>Haskell</t>
        </is>
      </c>
      <c r="E7" s="17" t="inlineStr">
        <is>
          <t>Proteina Capilar Bendito Loiro 150g</t>
        </is>
      </c>
      <c r="F7" s="17" t="inlineStr">
        <is>
          <t>Proteina capilar Bendito Loiro 150 g</t>
        </is>
      </c>
      <c r="G7" s="17" t="inlineStr">
        <is>
          <t>Bendito Loiro</t>
        </is>
      </c>
      <c r="H7" s="17" t="inlineStr">
        <is>
          <t>Tratamentos Capilares</t>
        </is>
      </c>
      <c r="I7" s="17" t="inlineStr">
        <is>
          <t>Tratamientos capilares</t>
        </is>
      </c>
      <c r="J7" s="17" t="inlineStr">
        <is>
          <t>Cabelos descoloridos</t>
        </is>
      </c>
      <c r="K7" s="17" t="inlineStr">
        <is>
          <t>Cabello decolorado</t>
        </is>
      </c>
      <c r="L7" s="17" t="inlineStr">
        <is>
          <t>Reparador</t>
        </is>
      </c>
      <c r="M7" s="17" t="inlineStr">
        <is>
          <t>Proteina capilar</t>
        </is>
      </c>
      <c r="N7" s="17" t="inlineStr">
        <is>
          <t>150 g</t>
        </is>
      </c>
      <c r="O7" s="17" t="n">
        <v>150</v>
      </c>
      <c r="P7" s="17" t="inlineStr">
        <is>
          <t>g</t>
        </is>
      </c>
      <c r="Q7" s="18" t="n">
        <v>55.9</v>
      </c>
      <c r="R7" s="18" t="n"/>
      <c r="S7" s="19">
        <f>IF(ISBLANK(R7),0,IFERROR((Q7-R7)/Q7,0))</f>
        <v/>
      </c>
      <c r="T7" s="17">
        <f>R7&lt;&gt;""</f>
        <v/>
      </c>
      <c r="U7" s="17">
        <f>TRUE()</f>
        <v/>
      </c>
      <c r="V7" s="17" t="n"/>
      <c r="W7" s="17" t="inlineStr">
        <is>
          <t>Pre-champu repositor inmediato de proteina de la linea Bendito Loiro, que reconstruye la estructura interna del cabello y reduce el riesgo de quiebre.</t>
        </is>
      </c>
      <c r="X7" s="17" t="n"/>
      <c r="Y7" s="17" t="inlineStr">
        <is>
          <t>Reconstruye la estructura interna del cabello | Reduce el riesgo de quiebre | Actua contra la elasticidad excesiva</t>
        </is>
      </c>
      <c r="Z7" s="17" t="n"/>
      <c r="AA7" s="17" t="inlineStr">
        <is>
          <t>Repositor de proteina | Pre-tratamiento</t>
        </is>
      </c>
      <c r="AB7" s="17" t="n"/>
      <c r="AC7" s="17" t="inlineStr">
        <is>
          <t>Aplicar antes del champu, sobre el cabello seco o humedo, siguiendo las indicaciones del envase.</t>
        </is>
      </c>
      <c r="AD7" s="17" t="inlineStr">
        <is>
          <t>Complexo de proteinas</t>
        </is>
      </c>
      <c r="AE7" s="17" t="inlineStr">
        <is>
          <t>Complejo de proteinas</t>
        </is>
      </c>
      <c r="AF7" s="17" t="n"/>
      <c r="AG7" s="17" t="n"/>
      <c r="AH7" s="20" t="inlineStr">
        <is>
          <t>proteina-capilar-bendito-loiro-150g.webp</t>
        </is>
      </c>
      <c r="AI7" s="17" t="n"/>
      <c r="AJ7" s="17" t="inlineStr">
        <is>
          <t>Cabello decolorado o rubio con danos, elasticidad excesiva o porosidad</t>
        </is>
      </c>
      <c r="AK7" s="17" t="inlineStr">
        <is>
          <t>https://haskellcosmeticos.com.br/tratamentos-capilares/bendito-loiro/</t>
        </is>
      </c>
      <c r="AL7" s="17" t="inlineStr">
        <is>
          <t>2026-07-24</t>
        </is>
      </c>
      <c r="AM7" s="21">
        <f>IF(ISBLANK(Q7),"",Q7*Parametros_PEN!$B$2)</f>
        <v/>
      </c>
      <c r="AN7" s="21">
        <f>IF(ISBLANK(Q7),"",Q7*Parametros_PEN!$B$2*(1+Parametros_PEN!$B$3))</f>
        <v/>
      </c>
      <c r="AO7" s="21">
        <f>IF(ISBLANK(R7),"",R7*Parametros_PEN!$B$2)</f>
        <v/>
      </c>
      <c r="AP7" s="21">
        <f>IF(ISBLANK(R7),"",R7*Parametros_PEN!$B$2*(1+Parametros_PEN!$B$3))</f>
        <v/>
      </c>
    </row>
    <row r="8" ht="35.05" customHeight="1" s="15">
      <c r="A8" s="17" t="inlineStr">
        <is>
          <t>HSK-0007</t>
        </is>
      </c>
      <c r="B8" s="17" t="inlineStr">
        <is>
          <t>fluido-proteico-bendito-loiro-120-ml</t>
        </is>
      </c>
      <c r="C8" s="17" t="n"/>
      <c r="D8" s="17" t="inlineStr">
        <is>
          <t>Haskell</t>
        </is>
      </c>
      <c r="E8" s="17" t="inlineStr">
        <is>
          <t>Fluido Proteico Bendito Loiro 120ml</t>
        </is>
      </c>
      <c r="F8" s="17" t="inlineStr">
        <is>
          <t>Fluido proteico Bendito Loiro 120 ml</t>
        </is>
      </c>
      <c r="G8" s="17" t="inlineStr">
        <is>
          <t>Bendito Loiro</t>
        </is>
      </c>
      <c r="H8" s="17" t="inlineStr">
        <is>
          <t>Tratamentos Capilares</t>
        </is>
      </c>
      <c r="I8" s="17" t="inlineStr">
        <is>
          <t>Tratamientos capilares</t>
        </is>
      </c>
      <c r="J8" s="17" t="inlineStr">
        <is>
          <t>Cabelos descoloridos</t>
        </is>
      </c>
      <c r="K8" s="17" t="inlineStr">
        <is>
          <t>Cabello decolorado</t>
        </is>
      </c>
      <c r="L8" s="17" t="inlineStr">
        <is>
          <t>Finalizador</t>
        </is>
      </c>
      <c r="M8" s="17" t="inlineStr">
        <is>
          <t>Fluido finalizador</t>
        </is>
      </c>
      <c r="N8" s="17" t="inlineStr">
        <is>
          <t>120 ml</t>
        </is>
      </c>
      <c r="O8" s="17" t="n">
        <v>120</v>
      </c>
      <c r="P8" s="17" t="inlineStr">
        <is>
          <t>ml</t>
        </is>
      </c>
      <c r="Q8" s="18" t="n">
        <v>48.9</v>
      </c>
      <c r="R8" s="18" t="n"/>
      <c r="S8" s="19">
        <f>IF(ISBLANK(R8),0,IFERROR((Q8-R8)/Q8,0))</f>
        <v/>
      </c>
      <c r="T8" s="17">
        <f>R8&lt;&gt;""</f>
        <v/>
      </c>
      <c r="U8" s="17">
        <f>TRUE()</f>
        <v/>
      </c>
      <c r="V8" s="17" t="n"/>
      <c r="W8" s="17" t="inlineStr">
        <is>
          <t>Fluido finalizador de la linea Bendito Loiro que aporta luminosidad, accion antifrizz y proteccion termica y solar al cabello decolorado.</t>
        </is>
      </c>
      <c r="X8" s="17" t="n"/>
      <c r="Y8" s="17" t="inlineStr">
        <is>
          <t>Aporta luminosidad | Accion antifrizz | Proteccion termica y solar</t>
        </is>
      </c>
      <c r="Z8" s="17" t="n"/>
      <c r="AA8" s="17" t="inlineStr">
        <is>
          <t>Finalizador | Protector termico</t>
        </is>
      </c>
      <c r="AB8" s="17" t="n"/>
      <c r="AC8" s="17" t="inlineStr">
        <is>
          <t>Aplicar una pequena cantidad sobre el cabello humedo o seco, de medios a puntas, antes de peinar o usar herramientas de calor.</t>
        </is>
      </c>
      <c r="AD8" s="17" t="inlineStr">
        <is>
          <t>Complexo de proteinas | Vinagre balsamico de uva</t>
        </is>
      </c>
      <c r="AE8" s="17" t="inlineStr">
        <is>
          <t>Complejo de proteinas | Vinagre balsamico de uva</t>
        </is>
      </c>
      <c r="AF8" s="17" t="n"/>
      <c r="AG8" s="17" t="n"/>
      <c r="AH8" s="20" t="inlineStr">
        <is>
          <t>fluido-proteico-bendito-loiro-120ml.webp</t>
        </is>
      </c>
      <c r="AI8" s="17" t="n"/>
      <c r="AJ8" s="17" t="inlineStr">
        <is>
          <t>Cabello decolorado o rubio con danos, elasticidad excesiva o porosidad</t>
        </is>
      </c>
      <c r="AK8" s="17" t="inlineStr">
        <is>
          <t>https://haskellcosmeticos.com.br/tratamentos-capilares/bendito-loiro/</t>
        </is>
      </c>
      <c r="AL8" s="17" t="inlineStr">
        <is>
          <t>2026-07-24</t>
        </is>
      </c>
      <c r="AM8" s="21">
        <f>IF(ISBLANK(Q8),"",Q8*Parametros_PEN!$B$2)</f>
        <v/>
      </c>
      <c r="AN8" s="21">
        <f>IF(ISBLANK(Q8),"",Q8*Parametros_PEN!$B$2*(1+Parametros_PEN!$B$3))</f>
        <v/>
      </c>
      <c r="AO8" s="21">
        <f>IF(ISBLANK(R8),"",R8*Parametros_PEN!$B$2)</f>
        <v/>
      </c>
      <c r="AP8" s="21">
        <f>IF(ISBLANK(R8),"",R8*Parametros_PEN!$B$2*(1+Parametros_PEN!$B$3))</f>
        <v/>
      </c>
    </row>
    <row r="9" ht="46.25" customHeight="1" s="15">
      <c r="A9" s="17" t="inlineStr">
        <is>
          <t>HSK-0008</t>
        </is>
      </c>
      <c r="B9" s="17" t="inlineStr">
        <is>
          <t>champu-de-uso-diario-matcha-y-romero-300-ml</t>
        </is>
      </c>
      <c r="C9" s="17" t="n"/>
      <c r="D9" s="17" t="inlineStr">
        <is>
          <t>Haskell</t>
        </is>
      </c>
      <c r="E9" s="17" t="inlineStr">
        <is>
          <t>Shampoo Uso Diario Matcha &amp; Alecrim 300ml</t>
        </is>
      </c>
      <c r="F9" s="17" t="inlineStr">
        <is>
          <t>Champu de uso diario Matcha y romero 300 ml</t>
        </is>
      </c>
      <c r="G9" s="17" t="inlineStr">
        <is>
          <t>Matcha</t>
        </is>
      </c>
      <c r="H9" s="17" t="inlineStr">
        <is>
          <t>Tratamentos Capilares</t>
        </is>
      </c>
      <c r="I9" s="17" t="inlineStr">
        <is>
          <t>Tratamientos capilares</t>
        </is>
      </c>
      <c r="J9" s="17" t="inlineStr">
        <is>
          <t>Controle da oleosidade</t>
        </is>
      </c>
      <c r="K9" s="17" t="inlineStr">
        <is>
          <t>Control de la grasitud capilar</t>
        </is>
      </c>
      <c r="L9" s="17" t="inlineStr">
        <is>
          <t>Shampoo</t>
        </is>
      </c>
      <c r="M9" s="17" t="inlineStr">
        <is>
          <t>Champu</t>
        </is>
      </c>
      <c r="N9" s="17" t="inlineStr">
        <is>
          <t>300 ml</t>
        </is>
      </c>
      <c r="O9" s="17" t="n">
        <v>300</v>
      </c>
      <c r="P9" s="17" t="inlineStr">
        <is>
          <t>ml</t>
        </is>
      </c>
      <c r="Q9" s="18" t="n">
        <v>58.9</v>
      </c>
      <c r="R9" s="18" t="n"/>
      <c r="S9" s="19">
        <f>IF(ISBLANK(R9),0,IFERROR((Q9-R9)/Q9,0))</f>
        <v/>
      </c>
      <c r="T9" s="17">
        <f>R9&lt;&gt;""</f>
        <v/>
      </c>
      <c r="U9" s="17">
        <f>TRUE()</f>
        <v/>
      </c>
      <c r="V9" s="17" t="n"/>
      <c r="W9" s="17" t="inlineStr">
        <is>
          <t>Champu de uso diario de la linea Matcha, formulado con matcha y romero para controlar la grasitud del cuero cabelludo y mantener el cabello limpio y liviano por mas tiempo.</t>
        </is>
      </c>
      <c r="X9" s="17" t="n"/>
      <c r="Y9" s="17" t="inlineStr">
        <is>
          <t>Controla la grasitud del cuero cabelludo | Fortalece los cabellos desde la raiz | Mantiene la limpieza por mas tiempo</t>
        </is>
      </c>
      <c r="Z9" s="17" t="n"/>
      <c r="AA9" s="17" t="inlineStr">
        <is>
          <t>Anti-grasitud | Limpieza diaria</t>
        </is>
      </c>
      <c r="AB9" s="17" t="n"/>
      <c r="AC9" s="17" t="inlineStr">
        <is>
          <t>Aplicar sobre el cabello mojado, masajear el cuero cabelludo y enjuagar. Puede usarse a diario.</t>
        </is>
      </c>
      <c r="AD9" s="17" t="inlineStr">
        <is>
          <t>Matcha | Extrato de Alecrim</t>
        </is>
      </c>
      <c r="AE9" s="17" t="inlineStr">
        <is>
          <t>Matcha | Extracto de romero</t>
        </is>
      </c>
      <c r="AF9" s="17" t="n"/>
      <c r="AG9" s="17" t="n"/>
      <c r="AH9" s="20" t="inlineStr">
        <is>
          <t>shampoo-uso-diario-matcha-alecrim-300ml.webp</t>
        </is>
      </c>
      <c r="AI9" s="17" t="n"/>
      <c r="AJ9" s="17" t="inlineStr">
        <is>
          <t>Cabello graso o con tendencia a la grasitud excesiva</t>
        </is>
      </c>
      <c r="AK9" s="17" t="inlineStr">
        <is>
          <t>https://haskellcosmeticos.com.br/tratamentos-capilares/linha-matcha-haskell/</t>
        </is>
      </c>
      <c r="AL9" s="17" t="inlineStr">
        <is>
          <t>2026-07-24</t>
        </is>
      </c>
      <c r="AM9" s="21">
        <f>IF(ISBLANK(Q9),"",Q9*Parametros_PEN!$B$2)</f>
        <v/>
      </c>
      <c r="AN9" s="21">
        <f>IF(ISBLANK(Q9),"",Q9*Parametros_PEN!$B$2*(1+Parametros_PEN!$B$3))</f>
        <v/>
      </c>
      <c r="AO9" s="21">
        <f>IF(ISBLANK(R9),"",R9*Parametros_PEN!$B$2)</f>
        <v/>
      </c>
      <c r="AP9" s="21">
        <f>IF(ISBLANK(R9),"",R9*Parametros_PEN!$B$2*(1+Parametros_PEN!$B$3))</f>
        <v/>
      </c>
    </row>
    <row r="10" ht="46.25" customHeight="1" s="15">
      <c r="A10" s="17" t="inlineStr">
        <is>
          <t>HSK-0009</t>
        </is>
      </c>
      <c r="B10" s="17" t="inlineStr">
        <is>
          <t>champu-antirresiduos-matcha-y-menta-300-ml</t>
        </is>
      </c>
      <c r="C10" s="17" t="n"/>
      <c r="D10" s="17" t="inlineStr">
        <is>
          <t>Haskell</t>
        </is>
      </c>
      <c r="E10" s="17" t="inlineStr">
        <is>
          <t>Shampoo Antirresiduos Matcha &amp; Hortela 300ml</t>
        </is>
      </c>
      <c r="F10" s="17" t="inlineStr">
        <is>
          <t>Champu antirresiduos Matcha y menta 300 ml</t>
        </is>
      </c>
      <c r="G10" s="17" t="inlineStr">
        <is>
          <t>Matcha</t>
        </is>
      </c>
      <c r="H10" s="17" t="inlineStr">
        <is>
          <t>Tratamentos Capilares</t>
        </is>
      </c>
      <c r="I10" s="17" t="inlineStr">
        <is>
          <t>Tratamientos capilares</t>
        </is>
      </c>
      <c r="J10" s="17" t="inlineStr">
        <is>
          <t>Controle da oleosidade</t>
        </is>
      </c>
      <c r="K10" s="17" t="inlineStr">
        <is>
          <t>Control de la grasitud capilar</t>
        </is>
      </c>
      <c r="L10" s="17" t="inlineStr">
        <is>
          <t>Shampoo</t>
        </is>
      </c>
      <c r="M10" s="17" t="inlineStr">
        <is>
          <t>Champu</t>
        </is>
      </c>
      <c r="N10" s="17" t="inlineStr">
        <is>
          <t>300 ml</t>
        </is>
      </c>
      <c r="O10" s="17" t="n">
        <v>300</v>
      </c>
      <c r="P10" s="17" t="inlineStr">
        <is>
          <t>ml</t>
        </is>
      </c>
      <c r="Q10" s="18" t="n">
        <v>58.9</v>
      </c>
      <c r="R10" s="18" t="n"/>
      <c r="S10" s="19">
        <f>IF(ISBLANK(R10),0,IFERROR((Q10-R10)/Q10,0))</f>
        <v/>
      </c>
      <c r="T10" s="17">
        <f>R10&lt;&gt;""</f>
        <v/>
      </c>
      <c r="U10" s="17">
        <f>TRUE()</f>
        <v/>
      </c>
      <c r="V10" s="17" t="n"/>
      <c r="W10" s="17" t="inlineStr">
        <is>
          <t>Champu de limpieza profunda de la linea Matcha, formulado con matcha y menta para eliminar residuos de productos de peinado y contaminacion, y prevenir la caida del cabello.</t>
        </is>
      </c>
      <c r="X10" s="17" t="n"/>
      <c r="Y10" s="17" t="inlineStr">
        <is>
          <t>Limpieza profunda | Elimina residuos de productos y contaminacion | Previene la caida del cabello | Sensacion de frescor</t>
        </is>
      </c>
      <c r="Z10" s="17" t="n"/>
      <c r="AA10" s="17" t="inlineStr">
        <is>
          <t>Limpieza profunda | Efecto refrescante</t>
        </is>
      </c>
      <c r="AB10" s="17" t="n"/>
      <c r="AC10" s="17" t="inlineStr">
        <is>
          <t>Aplicar sobre el cabello mojado, masajear el cuero cabelludo y enjuagar bien. Se recomienda su uso periodico, no necesariamente a diario.</t>
        </is>
      </c>
      <c r="AD10" s="17" t="inlineStr">
        <is>
          <t>Matcha | Extrato de Hortela</t>
        </is>
      </c>
      <c r="AE10" s="17" t="inlineStr">
        <is>
          <t>Matcha | Extracto de menta</t>
        </is>
      </c>
      <c r="AF10" s="17" t="n"/>
      <c r="AG10" s="17" t="n"/>
      <c r="AH10" s="20" t="inlineStr">
        <is>
          <t>shampoo-antirresiduos-matcha-hortela-300ml.webp</t>
        </is>
      </c>
      <c r="AI10" s="17" t="n"/>
      <c r="AJ10" s="17" t="inlineStr">
        <is>
          <t>Cabello graso o con acumulacion de residuos de productos</t>
        </is>
      </c>
      <c r="AK10" s="17" t="inlineStr">
        <is>
          <t>https://haskellcosmeticos.com.br/tratamentos-capilares/linha-matcha-haskell/</t>
        </is>
      </c>
      <c r="AL10" s="17" t="inlineStr">
        <is>
          <t>2026-07-24</t>
        </is>
      </c>
      <c r="AM10" s="21">
        <f>IF(ISBLANK(Q10),"",Q10*Parametros_PEN!$B$2)</f>
        <v/>
      </c>
      <c r="AN10" s="21">
        <f>IF(ISBLANK(Q10),"",Q10*Parametros_PEN!$B$2*(1+Parametros_PEN!$B$3))</f>
        <v/>
      </c>
      <c r="AO10" s="21">
        <f>IF(ISBLANK(R10),"",R10*Parametros_PEN!$B$2)</f>
        <v/>
      </c>
      <c r="AP10" s="21">
        <f>IF(ISBLANK(R10),"",R10*Parametros_PEN!$B$2*(1+Parametros_PEN!$B$3))</f>
        <v/>
      </c>
    </row>
    <row r="11" ht="35.05" customHeight="1" s="15">
      <c r="A11" s="17" t="inlineStr">
        <is>
          <t>HSK-0010</t>
        </is>
      </c>
      <c r="B11" s="17" t="inlineStr">
        <is>
          <t>acondicionador-matcha-y-romero-300-ml</t>
        </is>
      </c>
      <c r="C11" s="17" t="n"/>
      <c r="D11" s="17" t="inlineStr">
        <is>
          <t>Haskell</t>
        </is>
      </c>
      <c r="E11" s="17" t="inlineStr">
        <is>
          <t>Condicionador Matcha &amp; Alecrim 300ml</t>
        </is>
      </c>
      <c r="F11" s="17" t="inlineStr">
        <is>
          <t>Acondicionador Matcha y romero 300 ml</t>
        </is>
      </c>
      <c r="G11" s="17" t="inlineStr">
        <is>
          <t>Matcha</t>
        </is>
      </c>
      <c r="H11" s="17" t="inlineStr">
        <is>
          <t>Tratamentos Capilares</t>
        </is>
      </c>
      <c r="I11" s="17" t="inlineStr">
        <is>
          <t>Tratamientos capilares</t>
        </is>
      </c>
      <c r="J11" s="17" t="inlineStr">
        <is>
          <t>Controle da oleosidade</t>
        </is>
      </c>
      <c r="K11" s="17" t="inlineStr">
        <is>
          <t>Control de la grasitud capilar</t>
        </is>
      </c>
      <c r="L11" s="17" t="inlineStr">
        <is>
          <t>Condicionador</t>
        </is>
      </c>
      <c r="M11" s="17" t="inlineStr">
        <is>
          <t>Acondicionador</t>
        </is>
      </c>
      <c r="N11" s="17" t="inlineStr">
        <is>
          <t>300 ml</t>
        </is>
      </c>
      <c r="O11" s="17" t="n">
        <v>300</v>
      </c>
      <c r="P11" s="17" t="inlineStr">
        <is>
          <t>ml</t>
        </is>
      </c>
      <c r="Q11" s="18" t="n">
        <v>58.9</v>
      </c>
      <c r="R11" s="18" t="n"/>
      <c r="S11" s="19">
        <f>IF(ISBLANK(R11),0,IFERROR((Q11-R11)/Q11,0))</f>
        <v/>
      </c>
      <c r="T11" s="17">
        <f>R11&lt;&gt;""</f>
        <v/>
      </c>
      <c r="U11" s="17">
        <f>TRUE()</f>
        <v/>
      </c>
      <c r="V11" s="17" t="n"/>
      <c r="W11" s="17" t="inlineStr">
        <is>
          <t>Acondicionador liviano de la linea Matcha que protege el cabello sin sobrecargarlo, ayuda a prevenir la caida y evita el resecamiento de las puntas.</t>
        </is>
      </c>
      <c r="X11" s="17" t="n"/>
      <c r="Y11" s="17" t="inlineStr">
        <is>
          <t>Condiciona sin sobrecargar el cabello | Ayuda a prevenir la caida | Evita el resecamiento de las puntas</t>
        </is>
      </c>
      <c r="Z11" s="17" t="n"/>
      <c r="AA11" s="17" t="inlineStr">
        <is>
          <t>Liviano | No sobrecarga el cabello</t>
        </is>
      </c>
      <c r="AB11" s="17" t="n"/>
      <c r="AC11" s="17" t="inlineStr">
        <is>
          <t>Aplicar sobre el cabello lavado, de medios a puntas, dejar actuar y enjuagar.</t>
        </is>
      </c>
      <c r="AD11" s="17" t="inlineStr">
        <is>
          <t>Matcha | Extrato de Alecrim</t>
        </is>
      </c>
      <c r="AE11" s="17" t="inlineStr">
        <is>
          <t>Matcha | Extracto de romero</t>
        </is>
      </c>
      <c r="AF11" s="17" t="n"/>
      <c r="AG11" s="17" t="n"/>
      <c r="AH11" s="20" t="inlineStr">
        <is>
          <t>condicionador-matcha-alecrim-300ml.webp</t>
        </is>
      </c>
      <c r="AI11" s="17" t="n"/>
      <c r="AJ11" s="17" t="inlineStr">
        <is>
          <t>Cabello graso o con tendencia a la grasitud excesiva</t>
        </is>
      </c>
      <c r="AK11" s="17" t="inlineStr">
        <is>
          <t>https://haskellcosmeticos.com.br/tratamentos-capilares/linha-matcha-haskell/</t>
        </is>
      </c>
      <c r="AL11" s="17" t="inlineStr">
        <is>
          <t>2026-07-24</t>
        </is>
      </c>
      <c r="AM11" s="21">
        <f>IF(ISBLANK(Q11),"",Q11*Parametros_PEN!$B$2)</f>
        <v/>
      </c>
      <c r="AN11" s="21">
        <f>IF(ISBLANK(Q11),"",Q11*Parametros_PEN!$B$2*(1+Parametros_PEN!$B$3))</f>
        <v/>
      </c>
      <c r="AO11" s="21">
        <f>IF(ISBLANK(R11),"",R11*Parametros_PEN!$B$2)</f>
        <v/>
      </c>
      <c r="AP11" s="21">
        <f>IF(ISBLANK(R11),"",R11*Parametros_PEN!$B$2*(1+Parametros_PEN!$B$3))</f>
        <v/>
      </c>
    </row>
    <row r="12" ht="35.05" customHeight="1" s="15">
      <c r="A12" s="17" t="inlineStr">
        <is>
          <t>HSK-0011</t>
        </is>
      </c>
      <c r="B12" s="17" t="inlineStr">
        <is>
          <t>fluido-revitalizante-matcha-y-romero-120-ml</t>
        </is>
      </c>
      <c r="C12" s="17" t="n"/>
      <c r="D12" s="17" t="inlineStr">
        <is>
          <t>Haskell</t>
        </is>
      </c>
      <c r="E12" s="17" t="inlineStr">
        <is>
          <t>Fluido Revitalizante Matcha &amp; Alecrim 120ml</t>
        </is>
      </c>
      <c r="F12" s="17" t="inlineStr">
        <is>
          <t>Fluido revitalizante Matcha y romero 120 ml</t>
        </is>
      </c>
      <c r="G12" s="17" t="inlineStr">
        <is>
          <t>Matcha</t>
        </is>
      </c>
      <c r="H12" s="17" t="inlineStr">
        <is>
          <t>Tratamentos Capilares</t>
        </is>
      </c>
      <c r="I12" s="17" t="inlineStr">
        <is>
          <t>Tratamientos capilares</t>
        </is>
      </c>
      <c r="J12" s="17" t="inlineStr">
        <is>
          <t>Controle da oleosidade</t>
        </is>
      </c>
      <c r="K12" s="17" t="inlineStr">
        <is>
          <t>Control de la grasitud capilar</t>
        </is>
      </c>
      <c r="L12" s="17" t="inlineStr">
        <is>
          <t>Finalizador</t>
        </is>
      </c>
      <c r="M12" s="17" t="inlineStr">
        <is>
          <t>Fluido finalizador</t>
        </is>
      </c>
      <c r="N12" s="17" t="inlineStr">
        <is>
          <t>120 ml</t>
        </is>
      </c>
      <c r="O12" s="17" t="n">
        <v>120</v>
      </c>
      <c r="P12" s="17" t="inlineStr">
        <is>
          <t>ml</t>
        </is>
      </c>
      <c r="Q12" s="18" t="n">
        <v>48.9</v>
      </c>
      <c r="R12" s="18" t="n"/>
      <c r="S12" s="19">
        <f>IF(ISBLANK(R12),0,IFERROR((Q12-R12)/Q12,0))</f>
        <v/>
      </c>
      <c r="T12" s="17">
        <f>R12&lt;&gt;""</f>
        <v/>
      </c>
      <c r="U12" s="17">
        <f>TRUE()</f>
        <v/>
      </c>
      <c r="V12" s="17" t="n"/>
      <c r="W12" s="17" t="inlineStr">
        <is>
          <t>Fluido liviano y de rapida absorcion de la linea Matcha, que protege la fibra capilar frente a agresores externos y aporta luminosidad adicional.</t>
        </is>
      </c>
      <c r="X12" s="17" t="n"/>
      <c r="Y12" s="17" t="inlineStr">
        <is>
          <t>Absorcion rapida | Protege la fibra capilar | Aporta luminosidad adicional</t>
        </is>
      </c>
      <c r="Z12" s="17" t="n"/>
      <c r="AA12" s="17" t="inlineStr">
        <is>
          <t>Liviano | Facil absorcion</t>
        </is>
      </c>
      <c r="AB12" s="17" t="n"/>
      <c r="AC12" s="17" t="inlineStr">
        <is>
          <t>Aplicar una pequena cantidad sobre el cabello humedo o seco, evitando la raiz si el cabello es graso.</t>
        </is>
      </c>
      <c r="AD12" s="17" t="inlineStr">
        <is>
          <t>Matcha | Extrato de Alecrim</t>
        </is>
      </c>
      <c r="AE12" s="17" t="inlineStr">
        <is>
          <t>Matcha | Extracto de romero</t>
        </is>
      </c>
      <c r="AF12" s="17" t="n"/>
      <c r="AG12" s="17" t="n"/>
      <c r="AH12" s="20" t="inlineStr">
        <is>
          <t>fluido-revitalizante-matcha-alecrim-120ml.webp</t>
        </is>
      </c>
      <c r="AI12" s="17" t="n"/>
      <c r="AJ12" s="17" t="inlineStr">
        <is>
          <t>Cabello graso o con tendencia a la grasitud excesiva</t>
        </is>
      </c>
      <c r="AK12" s="17" t="inlineStr">
        <is>
          <t>https://haskellcosmeticos.com.br/tratamentos-capilares/linha-matcha-haskell/</t>
        </is>
      </c>
      <c r="AL12" s="17" t="inlineStr">
        <is>
          <t>2026-07-24</t>
        </is>
      </c>
      <c r="AM12" s="21">
        <f>IF(ISBLANK(Q12),"",Q12*Parametros_PEN!$B$2)</f>
        <v/>
      </c>
      <c r="AN12" s="21">
        <f>IF(ISBLANK(Q12),"",Q12*Parametros_PEN!$B$2*(1+Parametros_PEN!$B$3))</f>
        <v/>
      </c>
      <c r="AO12" s="21">
        <f>IF(ISBLANK(R12),"",R12*Parametros_PEN!$B$2)</f>
        <v/>
      </c>
      <c r="AP12" s="21">
        <f>IF(ISBLANK(R12),"",R12*Parametros_PEN!$B$2*(1+Parametros_PEN!$B$3))</f>
        <v/>
      </c>
    </row>
    <row r="13" ht="35.05" customHeight="1" s="15">
      <c r="A13" s="17" t="inlineStr">
        <is>
          <t>HSK-0012</t>
        </is>
      </c>
      <c r="B13" s="17" t="inlineStr">
        <is>
          <t>champu-murumuru-300-ml</t>
        </is>
      </c>
      <c r="C13" s="17" t="n"/>
      <c r="D13" s="17" t="inlineStr">
        <is>
          <t>Haskell</t>
        </is>
      </c>
      <c r="E13" s="17" t="inlineStr">
        <is>
          <t>Shampoo Murumuru 300ml</t>
        </is>
      </c>
      <c r="F13" s="17" t="inlineStr">
        <is>
          <t>Champu Murumuru 300 ml</t>
        </is>
      </c>
      <c r="G13" s="17" t="inlineStr">
        <is>
          <t>Murumuru</t>
        </is>
      </c>
      <c r="H13" s="17" t="inlineStr">
        <is>
          <t>Tratamentos Capilares</t>
        </is>
      </c>
      <c r="I13" s="17" t="inlineStr">
        <is>
          <t>Tratamientos capilares</t>
        </is>
      </c>
      <c r="J13" s="17" t="inlineStr">
        <is>
          <t>Nutricao intensa</t>
        </is>
      </c>
      <c r="K13" s="17" t="inlineStr">
        <is>
          <t>Nutricion intensa</t>
        </is>
      </c>
      <c r="L13" s="17" t="inlineStr">
        <is>
          <t>Shampoo</t>
        </is>
      </c>
      <c r="M13" s="17" t="inlineStr">
        <is>
          <t>Champu</t>
        </is>
      </c>
      <c r="N13" s="17" t="inlineStr">
        <is>
          <t>300 ml</t>
        </is>
      </c>
      <c r="O13" s="17" t="n">
        <v>300</v>
      </c>
      <c r="P13" s="17" t="inlineStr">
        <is>
          <t>ml</t>
        </is>
      </c>
      <c r="Q13" s="18" t="n">
        <v>58.9</v>
      </c>
      <c r="R13" s="18" t="n"/>
      <c r="S13" s="19">
        <f>IF(ISBLANK(R13),0,IFERROR((Q13-R13)/Q13,0))</f>
        <v/>
      </c>
      <c r="T13" s="17">
        <f>R13&lt;&gt;""</f>
        <v/>
      </c>
      <c r="U13" s="17">
        <f>TRUE()</f>
        <v/>
      </c>
      <c r="V13" s="17" t="n"/>
      <c r="W13" s="17" t="inlineStr">
        <is>
          <t>Champu de la linea Murumuru que realiza una limpieza suave y repone nutrientes y vitaminas esenciales, indicado para cabello muy seco.</t>
        </is>
      </c>
      <c r="X13" s="17" t="n"/>
      <c r="Y13" s="17" t="inlineStr">
        <is>
          <t>Limpieza suave | Repone nutrientes y vitaminas esenciales</t>
        </is>
      </c>
      <c r="Z13" s="17" t="n"/>
      <c r="AA13" s="17" t="inlineStr">
        <is>
          <t>Nutritivo | Limpieza suave</t>
        </is>
      </c>
      <c r="AB13" s="17" t="n"/>
      <c r="AC13" s="17" t="inlineStr">
        <is>
          <t>Aplicar sobre el cabello mojado, masajear el cuero cabelludo y enjuagar bien.</t>
        </is>
      </c>
      <c r="AD13" s="17" t="inlineStr">
        <is>
          <t>Manteiga de Murumuru</t>
        </is>
      </c>
      <c r="AE13" s="17" t="inlineStr">
        <is>
          <t>Manteca de murumuru</t>
        </is>
      </c>
      <c r="AF13" s="17" t="n"/>
      <c r="AG13" s="17" t="n"/>
      <c r="AH13" s="20" t="inlineStr">
        <is>
          <t>shampoo-murumuru-300ml.webp</t>
        </is>
      </c>
      <c r="AI13" s="17" t="n"/>
      <c r="AJ13" s="17" t="inlineStr">
        <is>
          <t>Cabello muy seco, opaco o deshidratado</t>
        </is>
      </c>
      <c r="AK13" s="17" t="inlineStr">
        <is>
          <t>https://haskellcosmeticos.com.br/tratamentos-capilares/linha-murumuru-haskell/</t>
        </is>
      </c>
      <c r="AL13" s="17" t="inlineStr">
        <is>
          <t>2026-07-24</t>
        </is>
      </c>
      <c r="AM13" s="21">
        <f>IF(ISBLANK(Q13),"",Q13*Parametros_PEN!$B$2)</f>
        <v/>
      </c>
      <c r="AN13" s="21">
        <f>IF(ISBLANK(Q13),"",Q13*Parametros_PEN!$B$2*(1+Parametros_PEN!$B$3))</f>
        <v/>
      </c>
      <c r="AO13" s="21">
        <f>IF(ISBLANK(R13),"",R13*Parametros_PEN!$B$2)</f>
        <v/>
      </c>
      <c r="AP13" s="21">
        <f>IF(ISBLANK(R13),"",R13*Parametros_PEN!$B$2*(1+Parametros_PEN!$B$3))</f>
        <v/>
      </c>
    </row>
    <row r="14" ht="35.05" customHeight="1" s="15">
      <c r="A14" s="17" t="inlineStr">
        <is>
          <t>HSK-0013</t>
        </is>
      </c>
      <c r="B14" s="17" t="inlineStr">
        <is>
          <t>champu-murumuru-500-ml</t>
        </is>
      </c>
      <c r="C14" s="17" t="n"/>
      <c r="D14" s="17" t="inlineStr">
        <is>
          <t>Haskell</t>
        </is>
      </c>
      <c r="E14" s="17" t="inlineStr">
        <is>
          <t>Shampoo Murumuru 500ml</t>
        </is>
      </c>
      <c r="F14" s="17" t="inlineStr">
        <is>
          <t>Champu Murumuru 500 ml</t>
        </is>
      </c>
      <c r="G14" s="17" t="inlineStr">
        <is>
          <t>Murumuru</t>
        </is>
      </c>
      <c r="H14" s="17" t="inlineStr">
        <is>
          <t>Tratamentos Capilares</t>
        </is>
      </c>
      <c r="I14" s="17" t="inlineStr">
        <is>
          <t>Tratamientos capilares</t>
        </is>
      </c>
      <c r="J14" s="17" t="inlineStr">
        <is>
          <t>Nutricao intensa</t>
        </is>
      </c>
      <c r="K14" s="17" t="inlineStr">
        <is>
          <t>Nutricion intensa</t>
        </is>
      </c>
      <c r="L14" s="17" t="inlineStr">
        <is>
          <t>Shampoo</t>
        </is>
      </c>
      <c r="M14" s="17" t="inlineStr">
        <is>
          <t>Champu</t>
        </is>
      </c>
      <c r="N14" s="17" t="inlineStr">
        <is>
          <t>500 ml</t>
        </is>
      </c>
      <c r="O14" s="17" t="n">
        <v>500</v>
      </c>
      <c r="P14" s="17" t="inlineStr">
        <is>
          <t>ml</t>
        </is>
      </c>
      <c r="Q14" s="18" t="n">
        <v>76.90000000000001</v>
      </c>
      <c r="R14" s="18" t="n"/>
      <c r="S14" s="19">
        <f>IF(ISBLANK(R14),0,IFERROR((Q14-R14)/Q14,0))</f>
        <v/>
      </c>
      <c r="T14" s="17">
        <f>R14&lt;&gt;""</f>
        <v/>
      </c>
      <c r="U14" s="17">
        <f>TRUE()</f>
        <v/>
      </c>
      <c r="V14" s="17" t="n"/>
      <c r="W14" s="17" t="inlineStr">
        <is>
          <t>Champu de la linea Murumuru que realiza una limpieza suave y repone nutrientes y vitaminas esenciales, indicado para cabello muy seco.</t>
        </is>
      </c>
      <c r="X14" s="17" t="n"/>
      <c r="Y14" s="17" t="inlineStr">
        <is>
          <t>Limpieza suave | Repone nutrientes y vitaminas esenciales</t>
        </is>
      </c>
      <c r="Z14" s="17" t="n"/>
      <c r="AA14" s="17" t="inlineStr">
        <is>
          <t>Nutritivo | Limpieza suave</t>
        </is>
      </c>
      <c r="AB14" s="17" t="n"/>
      <c r="AC14" s="17" t="inlineStr">
        <is>
          <t>Aplicar sobre el cabello mojado, masajear el cuero cabelludo y enjuagar bien.</t>
        </is>
      </c>
      <c r="AD14" s="17" t="inlineStr">
        <is>
          <t>Manteiga de Murumuru</t>
        </is>
      </c>
      <c r="AE14" s="17" t="inlineStr">
        <is>
          <t>Manteca de murumuru</t>
        </is>
      </c>
      <c r="AF14" s="17" t="n"/>
      <c r="AG14" s="17" t="n"/>
      <c r="AH14" s="20" t="inlineStr">
        <is>
          <t>shampoo-murumuru-haskell-500ml.webp</t>
        </is>
      </c>
      <c r="AI14" s="17" t="n"/>
      <c r="AJ14" s="17" t="inlineStr">
        <is>
          <t>Cabello muy seco, opaco o deshidratado</t>
        </is>
      </c>
      <c r="AK14" s="17" t="inlineStr">
        <is>
          <t>https://haskellcosmeticos.com.br/tratamentos-capilares/linha-murumuru-haskell/</t>
        </is>
      </c>
      <c r="AL14" s="17" t="inlineStr">
        <is>
          <t>2026-07-24</t>
        </is>
      </c>
      <c r="AM14" s="21">
        <f>IF(ISBLANK(Q14),"",Q14*Parametros_PEN!$B$2)</f>
        <v/>
      </c>
      <c r="AN14" s="21">
        <f>IF(ISBLANK(Q14),"",Q14*Parametros_PEN!$B$2*(1+Parametros_PEN!$B$3))</f>
        <v/>
      </c>
      <c r="AO14" s="21">
        <f>IF(ISBLANK(R14),"",R14*Parametros_PEN!$B$2)</f>
        <v/>
      </c>
      <c r="AP14" s="21">
        <f>IF(ISBLANK(R14),"",R14*Parametros_PEN!$B$2*(1+Parametros_PEN!$B$3))</f>
        <v/>
      </c>
    </row>
    <row r="15" ht="46.25" customHeight="1" s="15">
      <c r="A15" s="17" t="inlineStr">
        <is>
          <t>HSK-0014</t>
        </is>
      </c>
      <c r="B15" s="17" t="inlineStr">
        <is>
          <t>fluido-alineador-frizz-cancelado-200-ml</t>
        </is>
      </c>
      <c r="C15" s="17" t="n"/>
      <c r="D15" s="17" t="inlineStr">
        <is>
          <t>Haskell</t>
        </is>
      </c>
      <c r="E15" s="17" t="inlineStr">
        <is>
          <t>Fluido Alinhador Frizz Cancelado 200ml</t>
        </is>
      </c>
      <c r="F15" s="17" t="inlineStr">
        <is>
          <t>Fluido alineador Frizz Cancelado 200 ml</t>
        </is>
      </c>
      <c r="G15" s="17" t="inlineStr">
        <is>
          <t>Frizz Cancelado</t>
        </is>
      </c>
      <c r="H15" s="17" t="inlineStr">
        <is>
          <t>Tratamentos Capilares</t>
        </is>
      </c>
      <c r="I15" s="17" t="inlineStr">
        <is>
          <t>Tratamientos capilares</t>
        </is>
      </c>
      <c r="J15" s="17" t="inlineStr">
        <is>
          <t>Controle de frizz</t>
        </is>
      </c>
      <c r="K15" s="17" t="inlineStr">
        <is>
          <t>Control del frizz</t>
        </is>
      </c>
      <c r="L15" s="17" t="inlineStr">
        <is>
          <t>Finalizador</t>
        </is>
      </c>
      <c r="M15" s="17" t="inlineStr">
        <is>
          <t>Fluido finalizador</t>
        </is>
      </c>
      <c r="N15" s="17" t="inlineStr">
        <is>
          <t>200 ml</t>
        </is>
      </c>
      <c r="O15" s="17" t="n">
        <v>200</v>
      </c>
      <c r="P15" s="17" t="inlineStr">
        <is>
          <t>ml</t>
        </is>
      </c>
      <c r="Q15" s="18" t="n">
        <v>59.9</v>
      </c>
      <c r="R15" s="18" t="n"/>
      <c r="S15" s="19">
        <f>IF(ISBLANK(R15),0,IFERROR((Q15-R15)/Q15,0))</f>
        <v/>
      </c>
      <c r="T15" s="17">
        <f>R15&lt;&gt;""</f>
        <v/>
      </c>
      <c r="U15" s="17">
        <f>TRUE()</f>
        <v/>
      </c>
      <c r="V15" s="17" t="n"/>
      <c r="W15" s="17" t="inlineStr">
        <is>
          <t>Fluido finalizador de la linea Frizz Cancelado que ayuda a alinear y disciplinar el cabello, dejandolo con brillo intenso durante todo el dia sin apelmazarlo.</t>
        </is>
      </c>
      <c r="X15" s="17" t="n"/>
      <c r="Y15" s="17" t="inlineStr">
        <is>
          <t>Alinea y disciplina el cabello | Brillo intenso durante todo el dia | No apelmaza el cabello</t>
        </is>
      </c>
      <c r="Z15" s="17" t="n"/>
      <c r="AA15" s="17" t="inlineStr">
        <is>
          <t>Alineador | Antifrizz</t>
        </is>
      </c>
      <c r="AB15" s="17" t="n"/>
      <c r="AC15" s="17" t="inlineStr">
        <is>
          <t>Aplicar sobre el cabello humedo o seco, de medios a puntas, antes de peinar.</t>
        </is>
      </c>
      <c r="AD15" s="17" t="n"/>
      <c r="AE15" s="17" t="inlineStr">
        <is>
          <t>No especificado en la pagina de linea (pendiente de confirmar en ficha de producto)</t>
        </is>
      </c>
      <c r="AF15" s="17" t="n"/>
      <c r="AG15" s="17" t="n"/>
      <c r="AH15" s="20" t="inlineStr">
        <is>
          <t>fluido-alinhador-frizz-cancelado-200ml.webp</t>
        </is>
      </c>
      <c r="AI15" s="20" t="inlineStr">
        <is>
          <t>fluido-alinhador-frizz-cancelado-200ml_02.webp</t>
        </is>
      </c>
      <c r="AJ15" s="17" t="inlineStr">
        <is>
          <t>Cabello con frizz</t>
        </is>
      </c>
      <c r="AK15" s="17" t="inlineStr">
        <is>
          <t>https://haskellcosmeticos.com.br/tratamentos-capilares/frizz-cancelado/</t>
        </is>
      </c>
      <c r="AL15" s="17" t="inlineStr">
        <is>
          <t>2026-07-24</t>
        </is>
      </c>
      <c r="AM15" s="21">
        <f>IF(ISBLANK(Q15),"",Q15*Parametros_PEN!$B$2)</f>
        <v/>
      </c>
      <c r="AN15" s="21">
        <f>IF(ISBLANK(Q15),"",Q15*Parametros_PEN!$B$2*(1+Parametros_PEN!$B$3))</f>
        <v/>
      </c>
      <c r="AO15" s="21">
        <f>IF(ISBLANK(R15),"",R15*Parametros_PEN!$B$2)</f>
        <v/>
      </c>
      <c r="AP15" s="21">
        <f>IF(ISBLANK(R15),"",R15*Parametros_PEN!$B$2*(1+Parametros_PEN!$B$3))</f>
        <v/>
      </c>
    </row>
    <row r="16" ht="46.25" customHeight="1" s="15">
      <c r="A16" s="17" t="inlineStr">
        <is>
          <t>HSK-0015</t>
        </is>
      </c>
      <c r="B16" s="17" t="inlineStr">
        <is>
          <t>aceite-blindaje-capilar-frizz-cancelado-100-ml</t>
        </is>
      </c>
      <c r="C16" s="17" t="n"/>
      <c r="D16" s="17" t="inlineStr">
        <is>
          <t>Haskell</t>
        </is>
      </c>
      <c r="E16" s="17" t="inlineStr">
        <is>
          <t>Oleo Blinda Fio Frizz Cancelado 100ml</t>
        </is>
      </c>
      <c r="F16" s="17" t="inlineStr">
        <is>
          <t>Aceite blindaje capilar Frizz Cancelado 100 ml</t>
        </is>
      </c>
      <c r="G16" s="17" t="inlineStr">
        <is>
          <t>Frizz Cancelado</t>
        </is>
      </c>
      <c r="H16" s="17" t="inlineStr">
        <is>
          <t>Tratamentos Capilares</t>
        </is>
      </c>
      <c r="I16" s="17" t="inlineStr">
        <is>
          <t>Tratamientos capilares</t>
        </is>
      </c>
      <c r="J16" s="17" t="inlineStr">
        <is>
          <t>Controle de frizz</t>
        </is>
      </c>
      <c r="K16" s="17" t="inlineStr">
        <is>
          <t>Control del frizz</t>
        </is>
      </c>
      <c r="L16" s="17" t="inlineStr">
        <is>
          <t>Reparador</t>
        </is>
      </c>
      <c r="M16" s="17" t="inlineStr">
        <is>
          <t>Aceite capilar</t>
        </is>
      </c>
      <c r="N16" s="17" t="inlineStr">
        <is>
          <t>100 ml</t>
        </is>
      </c>
      <c r="O16" s="17" t="n">
        <v>100</v>
      </c>
      <c r="P16" s="17" t="inlineStr">
        <is>
          <t>ml</t>
        </is>
      </c>
      <c r="Q16" s="18" t="n">
        <v>95.90000000000001</v>
      </c>
      <c r="R16" s="18" t="n"/>
      <c r="S16" s="19">
        <f>IF(ISBLANK(R16),0,IFERROR((Q16-R16)/Q16,0))</f>
        <v/>
      </c>
      <c r="T16" s="17">
        <f>R16&lt;&gt;""</f>
        <v/>
      </c>
      <c r="U16" s="17">
        <f>TRUE()</f>
        <v/>
      </c>
      <c r="V16" s="17" t="n"/>
      <c r="W16" s="17" t="inlineStr">
        <is>
          <t>Aceite capilar de la linea Frizz Cancelado, formulado para proteger la fibra capilar y contribuir al control del frizz, dejando el cabello con brillo.</t>
        </is>
      </c>
      <c r="X16" s="17" t="n"/>
      <c r="Y16" s="17" t="inlineStr">
        <is>
          <t>Protege la fibra capilar | Contribuye al control del frizz | Aporta brillo</t>
        </is>
      </c>
      <c r="Z16" s="17" t="n"/>
      <c r="AA16" s="17" t="inlineStr">
        <is>
          <t>Protector | Antifrizz</t>
        </is>
      </c>
      <c r="AB16" s="17" t="n"/>
      <c r="AC16" s="17" t="inlineStr">
        <is>
          <t>Aplicar pocas gotas sobre el cabello humedo o seco, de medios a puntas.</t>
        </is>
      </c>
      <c r="AD16" s="17" t="n"/>
      <c r="AE16" s="17" t="inlineStr">
        <is>
          <t>No especificado en la pagina de linea (pendiente de confirmar en ficha de producto)</t>
        </is>
      </c>
      <c r="AF16" s="17" t="n"/>
      <c r="AG16" s="17" t="n"/>
      <c r="AH16" s="20" t="inlineStr">
        <is>
          <t>oleo-blinda-fio-frizz-cancelado-100ml.webp</t>
        </is>
      </c>
      <c r="AI16" s="20" t="inlineStr">
        <is>
          <t>oleo-blinda-fio-frizz-cancelado-100ml_02.webp</t>
        </is>
      </c>
      <c r="AJ16" s="17" t="inlineStr">
        <is>
          <t>Cabello con frizz</t>
        </is>
      </c>
      <c r="AK16" s="17" t="inlineStr">
        <is>
          <t>https://haskellcosmeticos.com.br/tratamentos-capilares/frizz-cancelado/</t>
        </is>
      </c>
      <c r="AL16" s="17" t="inlineStr">
        <is>
          <t>2026-07-24</t>
        </is>
      </c>
      <c r="AM16" s="21">
        <f>IF(ISBLANK(Q16),"",Q16*Parametros_PEN!$B$2)</f>
        <v/>
      </c>
      <c r="AN16" s="21">
        <f>IF(ISBLANK(Q16),"",Q16*Parametros_PEN!$B$2*(1+Parametros_PEN!$B$3))</f>
        <v/>
      </c>
      <c r="AO16" s="21">
        <f>IF(ISBLANK(R16),"",R16*Parametros_PEN!$B$2)</f>
        <v/>
      </c>
      <c r="AP16" s="21">
        <f>IF(ISBLANK(R16),"",R16*Parametros_PEN!$B$2*(1+Parametros_PEN!$B$3))</f>
        <v/>
      </c>
    </row>
    <row r="17" ht="46.25" customHeight="1" s="15">
      <c r="A17" s="17" t="inlineStr">
        <is>
          <t>HSK-0016</t>
        </is>
      </c>
      <c r="B17" s="17" t="inlineStr">
        <is>
          <t>mascarilla-liquida-lamelar-frizz-cancelado-200-ml</t>
        </is>
      </c>
      <c r="C17" s="17" t="n"/>
      <c r="D17" s="17" t="inlineStr">
        <is>
          <t>Haskell</t>
        </is>
      </c>
      <c r="E17" s="17" t="inlineStr">
        <is>
          <t>Mascara Liquida Lamelar Frizz Cancelado 200ml</t>
        </is>
      </c>
      <c r="F17" s="17" t="inlineStr">
        <is>
          <t>Mascarilla liquida lamelar Frizz Cancelado 200 ml</t>
        </is>
      </c>
      <c r="G17" s="17" t="inlineStr">
        <is>
          <t>Frizz Cancelado</t>
        </is>
      </c>
      <c r="H17" s="17" t="inlineStr">
        <is>
          <t>Tratamentos Capilares</t>
        </is>
      </c>
      <c r="I17" s="17" t="inlineStr">
        <is>
          <t>Tratamientos capilares</t>
        </is>
      </c>
      <c r="J17" s="17" t="inlineStr">
        <is>
          <t>Controle de frizz</t>
        </is>
      </c>
      <c r="K17" s="17" t="inlineStr">
        <is>
          <t>Control del frizz</t>
        </is>
      </c>
      <c r="L17" s="17" t="inlineStr">
        <is>
          <t>Mascara Liquida Lamelar</t>
        </is>
      </c>
      <c r="M17" s="17" t="inlineStr">
        <is>
          <t>Mascarilla liquida lamelar</t>
        </is>
      </c>
      <c r="N17" s="17" t="inlineStr">
        <is>
          <t>200 ml</t>
        </is>
      </c>
      <c r="O17" s="17" t="n">
        <v>200</v>
      </c>
      <c r="P17" s="17" t="inlineStr">
        <is>
          <t>ml</t>
        </is>
      </c>
      <c r="Q17" s="18" t="n">
        <v>81.90000000000001</v>
      </c>
      <c r="R17" s="18" t="n"/>
      <c r="S17" s="19">
        <f>IF(ISBLANK(R17),0,IFERROR((Q17-R17)/Q17,0))</f>
        <v/>
      </c>
      <c r="T17" s="17">
        <f>R17&lt;&gt;""</f>
        <v/>
      </c>
      <c r="U17" s="17">
        <f>TRUE()</f>
        <v/>
      </c>
      <c r="V17" s="17" t="n"/>
      <c r="W17" s="17" t="inlineStr">
        <is>
          <t>Mascarilla liquida de tecnologia lamelar de la linea Frizz Cancelado, que ayuda a alinear el cabello y controlar el frizz con un acabado liviano.</t>
        </is>
      </c>
      <c r="X17" s="17" t="n"/>
      <c r="Y17" s="17" t="inlineStr">
        <is>
          <t>Alinea el cabello | Controla el frizz | Acabado liviano</t>
        </is>
      </c>
      <c r="Z17" s="17" t="n"/>
      <c r="AA17" s="17" t="inlineStr">
        <is>
          <t>Tecnologia lamelar | Antifrizz</t>
        </is>
      </c>
      <c r="AB17" s="17" t="n"/>
      <c r="AC17" s="17" t="inlineStr">
        <is>
          <t>Aplicar sobre el cabello lavado, distribuir de medios a puntas y enjuagar segun las indicaciones del envase.</t>
        </is>
      </c>
      <c r="AD17" s="17" t="n"/>
      <c r="AE17" s="17" t="inlineStr">
        <is>
          <t>No especificado en la pagina de linea (pendiente de confirmar en ficha de producto)</t>
        </is>
      </c>
      <c r="AF17" s="17" t="n"/>
      <c r="AG17" s="17" t="n"/>
      <c r="AH17" s="20" t="inlineStr">
        <is>
          <t>mascara-liquida-lamelar-frizz-cancelado-200ml.webp</t>
        </is>
      </c>
      <c r="AI17" s="20" t="inlineStr">
        <is>
          <t>mascara-liquida-lamelar-frizz-cancelado-200ml_02.webp</t>
        </is>
      </c>
      <c r="AJ17" s="17" t="inlineStr">
        <is>
          <t>Cabello con frizz</t>
        </is>
      </c>
      <c r="AK17" s="17" t="inlineStr">
        <is>
          <t>https://haskellcosmeticos.com.br/tratamentos-capilares/frizz-cancelado/</t>
        </is>
      </c>
      <c r="AL17" s="17" t="inlineStr">
        <is>
          <t>2026-07-24</t>
        </is>
      </c>
      <c r="AM17" s="21">
        <f>IF(ISBLANK(Q17),"",Q17*Parametros_PEN!$B$2)</f>
        <v/>
      </c>
      <c r="AN17" s="21">
        <f>IF(ISBLANK(Q17),"",Q17*Parametros_PEN!$B$2*(1+Parametros_PEN!$B$3))</f>
        <v/>
      </c>
      <c r="AO17" s="21">
        <f>IF(ISBLANK(R17),"",R17*Parametros_PEN!$B$2)</f>
        <v/>
      </c>
      <c r="AP17" s="21">
        <f>IF(ISBLANK(R17),"",R17*Parametros_PEN!$B$2*(1+Parametros_PEN!$B$3))</f>
        <v/>
      </c>
    </row>
    <row r="18" ht="46.25" customHeight="1" s="15">
      <c r="A18" s="17" t="inlineStr">
        <is>
          <t>HSK-0017</t>
        </is>
      </c>
      <c r="B18" s="17" t="inlineStr">
        <is>
          <t>champu-cachos-si-300-ml</t>
        </is>
      </c>
      <c r="C18" s="17" t="n"/>
      <c r="D18" s="17" t="inlineStr">
        <is>
          <t>Haskell</t>
        </is>
      </c>
      <c r="E18" s="17" t="inlineStr">
        <is>
          <t>Shampoo Cachos Sim! 300ml</t>
        </is>
      </c>
      <c r="F18" s="17" t="inlineStr">
        <is>
          <t>Champu Cachos Si! 300 ml</t>
        </is>
      </c>
      <c r="G18" s="17" t="inlineStr">
        <is>
          <t>Cachos Sim!</t>
        </is>
      </c>
      <c r="H18" s="17" t="inlineStr">
        <is>
          <t>Tratamentos Capilares</t>
        </is>
      </c>
      <c r="I18" s="17" t="inlineStr">
        <is>
          <t>Tratamientos capilares</t>
        </is>
      </c>
      <c r="J18" s="17" t="inlineStr">
        <is>
          <t>Cuidado de cachos</t>
        </is>
      </c>
      <c r="K18" s="17" t="inlineStr">
        <is>
          <t>Cuidado de rizos</t>
        </is>
      </c>
      <c r="L18" s="17" t="inlineStr">
        <is>
          <t>Shampoo</t>
        </is>
      </c>
      <c r="M18" s="17" t="inlineStr">
        <is>
          <t>Champu</t>
        </is>
      </c>
      <c r="N18" s="17" t="inlineStr">
        <is>
          <t>300 ml</t>
        </is>
      </c>
      <c r="O18" s="17" t="n">
        <v>300</v>
      </c>
      <c r="P18" s="17" t="inlineStr">
        <is>
          <t>ml</t>
        </is>
      </c>
      <c r="Q18" s="18" t="n">
        <v>62.9</v>
      </c>
      <c r="R18" s="18" t="n"/>
      <c r="S18" s="19">
        <f>IF(ISBLANK(R18),0,IFERROR((Q18-R18)/Q18,0))</f>
        <v/>
      </c>
      <c r="T18" s="17">
        <f>R18&lt;&gt;""</f>
        <v/>
      </c>
      <c r="U18" s="17">
        <f>TRUE()</f>
        <v/>
      </c>
      <c r="V18" s="17" t="n"/>
      <c r="W18" s="17" t="inlineStr">
        <is>
          <t>Champu de la linea Cachos Si!, formulado sin sulfatos, petrolatos ni parabenos (tecnica low poo), que limpia suavemente sin remover los aceites naturales del cabello rizado.</t>
        </is>
      </c>
      <c r="X18" s="17" t="n"/>
      <c r="Y18" s="17" t="inlineStr">
        <is>
          <t>Limpieza suave sin remover aceites naturales | Hidrata el cabello y el cuero cabelludo | Libre de sulfatos, petrolatos y parabenos</t>
        </is>
      </c>
      <c r="Z18" s="17" t="n"/>
      <c r="AA18" s="17" t="inlineStr">
        <is>
          <t>Formula low poo | Libre de sulfatos</t>
        </is>
      </c>
      <c r="AB18" s="17" t="n"/>
      <c r="AC18" s="17" t="inlineStr">
        <is>
          <t>Aplicar sobre el cabello mojado, masajear el cuero cabelludo y enjuagar bien.</t>
        </is>
      </c>
      <c r="AD18" s="17" t="inlineStr">
        <is>
          <t>Oleo de Coco | Colageno Vegetal</t>
        </is>
      </c>
      <c r="AE18" s="17" t="inlineStr">
        <is>
          <t>Aceite de coco | Colageno vegetal</t>
        </is>
      </c>
      <c r="AF18" s="17" t="n"/>
      <c r="AG18" s="17" t="n"/>
      <c r="AH18" s="20" t="inlineStr">
        <is>
          <t>shampoo-cachos-sim-haskell-300ml.webp</t>
        </is>
      </c>
      <c r="AI18" s="17" t="n"/>
      <c r="AJ18" s="17" t="inlineStr">
        <is>
          <t>Cabello rizado y ondulado</t>
        </is>
      </c>
      <c r="AK18" s="17" t="inlineStr">
        <is>
          <t>https://haskellcosmeticos.com.br/tratamentos-capilares/linha-cachos-sim-haskell/</t>
        </is>
      </c>
      <c r="AL18" s="17" t="inlineStr">
        <is>
          <t>2026-07-24</t>
        </is>
      </c>
      <c r="AM18" s="21">
        <f>IF(ISBLANK(Q18),"",Q18*Parametros_PEN!$B$2)</f>
        <v/>
      </c>
      <c r="AN18" s="21">
        <f>IF(ISBLANK(Q18),"",Q18*Parametros_PEN!$B$2*(1+Parametros_PEN!$B$3))</f>
        <v/>
      </c>
      <c r="AO18" s="21">
        <f>IF(ISBLANK(R18),"",R18*Parametros_PEN!$B$2)</f>
        <v/>
      </c>
      <c r="AP18" s="21">
        <f>IF(ISBLANK(R18),"",R18*Parametros_PEN!$B$2*(1+Parametros_PEN!$B$3))</f>
        <v/>
      </c>
    </row>
    <row r="19" ht="35.05" customHeight="1" s="15">
      <c r="A19" s="17" t="inlineStr">
        <is>
          <t>HSK-0018</t>
        </is>
      </c>
      <c r="B19" s="17" t="inlineStr">
        <is>
          <t>acondicionador-cachos-si-300-ml</t>
        </is>
      </c>
      <c r="C19" s="17" t="n"/>
      <c r="D19" s="17" t="inlineStr">
        <is>
          <t>Haskell</t>
        </is>
      </c>
      <c r="E19" s="17" t="inlineStr">
        <is>
          <t>Condicionador Cachos Sim! 300ml</t>
        </is>
      </c>
      <c r="F19" s="17" t="inlineStr">
        <is>
          <t>Acondicionador Cachos Si! 300 ml</t>
        </is>
      </c>
      <c r="G19" s="17" t="inlineStr">
        <is>
          <t>Cachos Sim!</t>
        </is>
      </c>
      <c r="H19" s="17" t="inlineStr">
        <is>
          <t>Tratamentos Capilares</t>
        </is>
      </c>
      <c r="I19" s="17" t="inlineStr">
        <is>
          <t>Tratamientos capilares</t>
        </is>
      </c>
      <c r="J19" s="17" t="inlineStr">
        <is>
          <t>Cuidado de cachos</t>
        </is>
      </c>
      <c r="K19" s="17" t="inlineStr">
        <is>
          <t>Cuidado de rizos</t>
        </is>
      </c>
      <c r="L19" s="17" t="inlineStr">
        <is>
          <t>Condicionador</t>
        </is>
      </c>
      <c r="M19" s="17" t="inlineStr">
        <is>
          <t>Acondicionador</t>
        </is>
      </c>
      <c r="N19" s="17" t="inlineStr">
        <is>
          <t>300 ml</t>
        </is>
      </c>
      <c r="O19" s="17" t="n">
        <v>300</v>
      </c>
      <c r="P19" s="17" t="inlineStr">
        <is>
          <t>ml</t>
        </is>
      </c>
      <c r="Q19" s="18" t="n">
        <v>62.9</v>
      </c>
      <c r="R19" s="18" t="n"/>
      <c r="S19" s="19">
        <f>IF(ISBLANK(R19),0,IFERROR((Q19-R19)/Q19,0))</f>
        <v/>
      </c>
      <c r="T19" s="17">
        <f>R19&lt;&gt;""</f>
        <v/>
      </c>
      <c r="U19" s="17">
        <f>TRUE()</f>
        <v/>
      </c>
      <c r="V19" s="17" t="n"/>
      <c r="W19" s="17" t="inlineStr">
        <is>
          <t>Acondicionador de la linea Cachos Si! que aporta emoliencia, definicion y brillo, ayuda a controlar el frizz y favorece el cierre de las cuticulas.</t>
        </is>
      </c>
      <c r="X19" s="17" t="n"/>
      <c r="Y19" s="17" t="inlineStr">
        <is>
          <t>Aporta emoliencia, definicion y brillo | Controla el frizz | Favorece el cierre de las cuticulas | Reduce el volumen</t>
        </is>
      </c>
      <c r="Z19" s="17" t="n"/>
      <c r="AA19" s="17" t="inlineStr">
        <is>
          <t>Emoliente | Definidor de rizos</t>
        </is>
      </c>
      <c r="AB19" s="17" t="n"/>
      <c r="AC19" s="17" t="inlineStr">
        <is>
          <t>Aplicar sobre el cabello lavado, de medios a puntas, dejar actuar y enjuagar.</t>
        </is>
      </c>
      <c r="AD19" s="17" t="inlineStr">
        <is>
          <t>Oleo de Coco | Colageno Vegetal</t>
        </is>
      </c>
      <c r="AE19" s="17" t="inlineStr">
        <is>
          <t>Aceite de coco | Colageno vegetal</t>
        </is>
      </c>
      <c r="AF19" s="17" t="n"/>
      <c r="AG19" s="17" t="n"/>
      <c r="AH19" s="20" t="inlineStr">
        <is>
          <t>condicionador-cachos-sim-haskell-300ml.webp</t>
        </is>
      </c>
      <c r="AI19" s="17" t="n"/>
      <c r="AJ19" s="17" t="inlineStr">
        <is>
          <t>Cabello rizado y ondulado</t>
        </is>
      </c>
      <c r="AK19" s="17" t="inlineStr">
        <is>
          <t>https://haskellcosmeticos.com.br/tratamentos-capilares/linha-cachos-sim-haskell/</t>
        </is>
      </c>
      <c r="AL19" s="17" t="inlineStr">
        <is>
          <t>2026-07-24</t>
        </is>
      </c>
      <c r="AM19" s="21">
        <f>IF(ISBLANK(Q19),"",Q19*Parametros_PEN!$B$2)</f>
        <v/>
      </c>
      <c r="AN19" s="21">
        <f>IF(ISBLANK(Q19),"",Q19*Parametros_PEN!$B$2*(1+Parametros_PEN!$B$3))</f>
        <v/>
      </c>
      <c r="AO19" s="21">
        <f>IF(ISBLANK(R19),"",R19*Parametros_PEN!$B$2)</f>
        <v/>
      </c>
      <c r="AP19" s="21">
        <f>IF(ISBLANK(R19),"",R19*Parametros_PEN!$B$2*(1+Parametros_PEN!$B$3))</f>
        <v/>
      </c>
    </row>
    <row r="20" ht="35.05" customHeight="1" s="15">
      <c r="A20" s="17" t="inlineStr">
        <is>
          <t>HSK-0019</t>
        </is>
      </c>
      <c r="B20" s="17" t="inlineStr">
        <is>
          <t>mascarilla-humectante-cachos-si-300-g</t>
        </is>
      </c>
      <c r="C20" s="17" t="n"/>
      <c r="D20" s="17" t="inlineStr">
        <is>
          <t>Haskell</t>
        </is>
      </c>
      <c r="E20" s="17" t="inlineStr">
        <is>
          <t>Mascara Umectante Cachos Sim! 300g</t>
        </is>
      </c>
      <c r="F20" s="17" t="inlineStr">
        <is>
          <t>Mascarilla humectante Cachos Si! 300 g</t>
        </is>
      </c>
      <c r="G20" s="17" t="inlineStr">
        <is>
          <t>Cachos Sim!</t>
        </is>
      </c>
      <c r="H20" s="17" t="inlineStr">
        <is>
          <t>Tratamentos Capilares</t>
        </is>
      </c>
      <c r="I20" s="17" t="inlineStr">
        <is>
          <t>Tratamientos capilares</t>
        </is>
      </c>
      <c r="J20" s="17" t="inlineStr">
        <is>
          <t>Cuidado de cachos</t>
        </is>
      </c>
      <c r="K20" s="17" t="inlineStr">
        <is>
          <t>Cuidado de rizos</t>
        </is>
      </c>
      <c r="L20" s="17" t="inlineStr">
        <is>
          <t>Mascara de Tratamento</t>
        </is>
      </c>
      <c r="M20" s="17" t="inlineStr">
        <is>
          <t>Mascarilla de tratamiento</t>
        </is>
      </c>
      <c r="N20" s="17" t="inlineStr">
        <is>
          <t>300 g</t>
        </is>
      </c>
      <c r="O20" s="17" t="n">
        <v>300</v>
      </c>
      <c r="P20" s="17" t="inlineStr">
        <is>
          <t>g</t>
        </is>
      </c>
      <c r="Q20" s="18" t="n">
        <v>74.90000000000001</v>
      </c>
      <c r="R20" s="18" t="n"/>
      <c r="S20" s="19">
        <f>IF(ISBLANK(R20),0,IFERROR((Q20-R20)/Q20,0))</f>
        <v/>
      </c>
      <c r="T20" s="17">
        <f>R20&lt;&gt;""</f>
        <v/>
      </c>
      <c r="U20" s="17">
        <f>TRUE()</f>
        <v/>
      </c>
      <c r="V20" s="17" t="n"/>
      <c r="W20" s="17" t="inlineStr">
        <is>
          <t>Mascarilla altamente humectante de la linea Cachos Si!, que devuelve la humedad natural, nutre los rizos mas secos y realza su forma original.</t>
        </is>
      </c>
      <c r="X20" s="17" t="n"/>
      <c r="Y20" s="17" t="inlineStr">
        <is>
          <t>Alto poder humectante | Nutre los rizos mas secos | Realza la forma original del rizo</t>
        </is>
      </c>
      <c r="Z20" s="17" t="n"/>
      <c r="AA20" s="17" t="inlineStr">
        <is>
          <t>Humectante | Nutritiva</t>
        </is>
      </c>
      <c r="AB20" s="17" t="n"/>
      <c r="AC20" s="17" t="inlineStr">
        <is>
          <t>Aplicar sobre el cabello lavado, distribuir de medios a puntas y dejar actuar antes de enjuagar.</t>
        </is>
      </c>
      <c r="AD20" s="17" t="inlineStr">
        <is>
          <t>Oleo de Coco | Colageno Vegetal</t>
        </is>
      </c>
      <c r="AE20" s="17" t="inlineStr">
        <is>
          <t>Aceite de coco | Colageno vegetal</t>
        </is>
      </c>
      <c r="AF20" s="17" t="n"/>
      <c r="AG20" s="17" t="n"/>
      <c r="AH20" s="20" t="inlineStr">
        <is>
          <t>mascara-umectante-cachos-sim-300g.webp</t>
        </is>
      </c>
      <c r="AI20" s="17" t="n"/>
      <c r="AJ20" s="17" t="inlineStr">
        <is>
          <t>Cabello rizado y ondulado, especialmente el mas seco</t>
        </is>
      </c>
      <c r="AK20" s="17" t="inlineStr">
        <is>
          <t>https://haskellcosmeticos.com.br/tratamentos-capilares/linha-cachos-sim-haskell/</t>
        </is>
      </c>
      <c r="AL20" s="17" t="inlineStr">
        <is>
          <t>2026-07-24</t>
        </is>
      </c>
      <c r="AM20" s="21">
        <f>IF(ISBLANK(Q20),"",Q20*Parametros_PEN!$B$2)</f>
        <v/>
      </c>
      <c r="AN20" s="21">
        <f>IF(ISBLANK(Q20),"",Q20*Parametros_PEN!$B$2*(1+Parametros_PEN!$B$3))</f>
        <v/>
      </c>
      <c r="AO20" s="21">
        <f>IF(ISBLANK(R20),"",R20*Parametros_PEN!$B$2)</f>
        <v/>
      </c>
      <c r="AP20" s="21">
        <f>IF(ISBLANK(R20),"",R20*Parametros_PEN!$B$2*(1+Parametros_PEN!$B$3))</f>
        <v/>
      </c>
    </row>
    <row r="21" ht="35.05" customHeight="1" s="15">
      <c r="A21" s="17" t="inlineStr">
        <is>
          <t>HSK-0020</t>
        </is>
      </c>
      <c r="B21" s="17" t="inlineStr">
        <is>
          <t>leave-in-memorizador-de-rizos-cachos-si-300-ml</t>
        </is>
      </c>
      <c r="C21" s="17" t="n"/>
      <c r="D21" s="17" t="inlineStr">
        <is>
          <t>Haskell</t>
        </is>
      </c>
      <c r="E21" s="17" t="inlineStr">
        <is>
          <t>Leave In Memorizador de Cachos Cachos Sim! 300ml</t>
        </is>
      </c>
      <c r="F21" s="17" t="inlineStr">
        <is>
          <t>Leave-in memorizador de rizos Cachos Si! 300 ml</t>
        </is>
      </c>
      <c r="G21" s="17" t="inlineStr">
        <is>
          <t>Cachos Sim!</t>
        </is>
      </c>
      <c r="H21" s="17" t="inlineStr">
        <is>
          <t>Tratamentos Capilares</t>
        </is>
      </c>
      <c r="I21" s="17" t="inlineStr">
        <is>
          <t>Tratamientos capilares</t>
        </is>
      </c>
      <c r="J21" s="17" t="inlineStr">
        <is>
          <t>Cuidado de cachos</t>
        </is>
      </c>
      <c r="K21" s="17" t="inlineStr">
        <is>
          <t>Cuidado de rizos</t>
        </is>
      </c>
      <c r="L21" s="17" t="inlineStr">
        <is>
          <t>Finalizador</t>
        </is>
      </c>
      <c r="M21" s="17" t="inlineStr">
        <is>
          <t>Leave-in (sin enjuague)</t>
        </is>
      </c>
      <c r="N21" s="17" t="inlineStr">
        <is>
          <t>300 ml</t>
        </is>
      </c>
      <c r="O21" s="17" t="n">
        <v>300</v>
      </c>
      <c r="P21" s="17" t="inlineStr">
        <is>
          <t>ml</t>
        </is>
      </c>
      <c r="Q21" s="18" t="n">
        <v>68.90000000000001</v>
      </c>
      <c r="R21" s="18" t="n"/>
      <c r="S21" s="19">
        <f>IF(ISBLANK(R21),0,IFERROR((Q21-R21)/Q21,0))</f>
        <v/>
      </c>
      <c r="T21" s="17">
        <f>R21&lt;&gt;""</f>
        <v/>
      </c>
      <c r="U21" s="17">
        <f>TRUE()</f>
        <v/>
      </c>
      <c r="V21" s="17" t="n"/>
      <c r="W21" s="17" t="inlineStr">
        <is>
          <t>Leave-in de la linea Cachos Si! que activa y define los rizos, controla el frizz y reactiva la memoria del cabello, con proteccion solar y termica.</t>
        </is>
      </c>
      <c r="X21" s="17" t="n"/>
      <c r="Y21" s="17" t="inlineStr">
        <is>
          <t>Activa y define los rizos | Controla el frizz | Reactiva la memoria del rizo | Proteccion solar y termica</t>
        </is>
      </c>
      <c r="Z21" s="17" t="n"/>
      <c r="AA21" s="17" t="inlineStr">
        <is>
          <t>Definidor | Con proteccion termica y solar</t>
        </is>
      </c>
      <c r="AB21" s="17" t="n"/>
      <c r="AC21" s="17" t="inlineStr">
        <is>
          <t>Aplicar sobre el cabello humedo, distribuir mechon por mechon y dejar secar al aire o con difusor.</t>
        </is>
      </c>
      <c r="AD21" s="17" t="inlineStr">
        <is>
          <t>Oleo de Coco | Colageno Vegetal</t>
        </is>
      </c>
      <c r="AE21" s="17" t="inlineStr">
        <is>
          <t>Aceite de coco | Colageno vegetal</t>
        </is>
      </c>
      <c r="AF21" s="17" t="n"/>
      <c r="AG21" s="17" t="n"/>
      <c r="AH21" s="20" t="inlineStr">
        <is>
          <t>leave-in-memorizador-de-cachos-cachos-sim-haskell-300ml.webp</t>
        </is>
      </c>
      <c r="AI21" s="17" t="n"/>
      <c r="AJ21" s="17" t="inlineStr">
        <is>
          <t>Cabello rizado y ondulado</t>
        </is>
      </c>
      <c r="AK21" s="17" t="inlineStr">
        <is>
          <t>https://haskellcosmeticos.com.br/tratamentos-capilares/linha-cachos-sim-haskell/</t>
        </is>
      </c>
      <c r="AL21" s="17" t="inlineStr">
        <is>
          <t>2026-07-24</t>
        </is>
      </c>
      <c r="AM21" s="21">
        <f>IF(ISBLANK(Q21),"",Q21*Parametros_PEN!$B$2)</f>
        <v/>
      </c>
      <c r="AN21" s="21">
        <f>IF(ISBLANK(Q21),"",Q21*Parametros_PEN!$B$2*(1+Parametros_PEN!$B$3))</f>
        <v/>
      </c>
      <c r="AO21" s="21">
        <f>IF(ISBLANK(R21),"",R21*Parametros_PEN!$B$2)</f>
        <v/>
      </c>
      <c r="AP21" s="21">
        <f>IF(ISBLANK(R21),"",R21*Parametros_PEN!$B$2*(1+Parametros_PEN!$B$3))</f>
        <v/>
      </c>
    </row>
    <row r="22" ht="46.25" customHeight="1" s="15">
      <c r="A22" s="17" t="inlineStr">
        <is>
          <t>HSK-0021</t>
        </is>
      </c>
      <c r="B22" s="17" t="inlineStr">
        <is>
          <t>supermascarilla-acidificante-reductora-de-ph-240-g</t>
        </is>
      </c>
      <c r="C22" s="17" t="n"/>
      <c r="D22" s="17" t="inlineStr">
        <is>
          <t>Haskell</t>
        </is>
      </c>
      <c r="E22" s="17" t="inlineStr">
        <is>
          <t>Supermascara Acidificante Redutor de pH 240g</t>
        </is>
      </c>
      <c r="F22" s="17" t="inlineStr">
        <is>
          <t>Supermascarilla acidificante reductora de pH 240 g</t>
        </is>
      </c>
      <c r="G22" s="17" t="inlineStr">
        <is>
          <t>Acidificante</t>
        </is>
      </c>
      <c r="H22" s="17" t="inlineStr">
        <is>
          <t>Tratamentos Capilares</t>
        </is>
      </c>
      <c r="I22" s="17" t="inlineStr">
        <is>
          <t>Tratamientos capilares</t>
        </is>
      </c>
      <c r="J22" s="17" t="inlineStr">
        <is>
          <t>Reconstrucao pos-quimica</t>
        </is>
      </c>
      <c r="K22" s="17" t="inlineStr">
        <is>
          <t>Reconstruccion post-quimica</t>
        </is>
      </c>
      <c r="L22" s="17" t="inlineStr">
        <is>
          <t>Mascara de Tratamento</t>
        </is>
      </c>
      <c r="M22" s="17" t="inlineStr">
        <is>
          <t>Mascarilla de tratamiento</t>
        </is>
      </c>
      <c r="N22" s="17" t="inlineStr">
        <is>
          <t>240 g</t>
        </is>
      </c>
      <c r="O22" s="17" t="n">
        <v>240</v>
      </c>
      <c r="P22" s="17" t="inlineStr">
        <is>
          <t>g</t>
        </is>
      </c>
      <c r="Q22" s="18" t="n">
        <v>74.90000000000001</v>
      </c>
      <c r="R22" s="18" t="n"/>
      <c r="S22" s="19">
        <f>IF(ISBLANK(R22),0,IFERROR((Q22-R22)/Q22,0))</f>
        <v/>
      </c>
      <c r="T22" s="17">
        <f>R22&lt;&gt;""</f>
        <v/>
      </c>
      <c r="U22" s="17">
        <f>TRUE()</f>
        <v/>
      </c>
      <c r="V22" s="17" t="n"/>
      <c r="W22" s="17" t="inlineStr">
        <is>
          <t>Mascarilla de tratamiento concentrada de la linea Acidificante, de uso posterior al champu: ayuda a reconstruir el cabello danado por procesos quimicos y a equilibrar el pH de los hilos.</t>
        </is>
      </c>
      <c r="X22" s="17" t="n"/>
      <c r="Y22" s="17" t="inlineStr">
        <is>
          <t>Tratamiento concentrado | Actua en profundidad sobre la fibra capilar | Refuerza el resultado de la linea</t>
        </is>
      </c>
      <c r="Z22" s="17" t="n"/>
      <c r="AA22" s="17" t="inlineStr">
        <is>
          <t>Tratamiento intensivo</t>
        </is>
      </c>
      <c r="AB22" s="17" t="n"/>
      <c r="AC22" s="17" t="inlineStr">
        <is>
          <t>Aplicar mechon por mechon despues del champu, dejar actuar de 3 a 5 minutos y enjuagar bien.</t>
        </is>
      </c>
      <c r="AD22" s="17" t="inlineStr">
        <is>
          <t>Blend de vinagres | Arginina</t>
        </is>
      </c>
      <c r="AE22" s="17" t="inlineStr">
        <is>
          <t>Blend de vinagres | Arginina</t>
        </is>
      </c>
      <c r="AF22" s="17" t="n"/>
      <c r="AG22" s="17" t="n"/>
      <c r="AH22" s="20" t="inlineStr">
        <is>
          <t>supermascara-acidificante-redutor-de-ph-240g.webp</t>
        </is>
      </c>
      <c r="AI22" s="17" t="n"/>
      <c r="AJ22" s="17" t="inlineStr">
        <is>
          <t>Cabello danado por procesos quimicos, con porosidad alta</t>
        </is>
      </c>
      <c r="AK22" s="17" t="inlineStr">
        <is>
          <t>https://haskellcosmeticos.com.br/tratamentos-capilares/linha-acidificante-haskell/</t>
        </is>
      </c>
      <c r="AL22" s="17" t="inlineStr">
        <is>
          <t>2026-07-24</t>
        </is>
      </c>
      <c r="AM22" s="21">
        <f>IF(ISBLANK(Q22),"",Q22*Parametros_PEN!$B$2)</f>
        <v/>
      </c>
      <c r="AN22" s="21">
        <f>IF(ISBLANK(Q22),"",Q22*Parametros_PEN!$B$2*(1+Parametros_PEN!$B$3))</f>
        <v/>
      </c>
      <c r="AO22" s="21">
        <f>IF(ISBLANK(R22),"",R22*Parametros_PEN!$B$2)</f>
        <v/>
      </c>
      <c r="AP22" s="21">
        <f>IF(ISBLANK(R22),"",R22*Parametros_PEN!$B$2*(1+Parametros_PEN!$B$3))</f>
        <v/>
      </c>
    </row>
    <row r="23" ht="46.25" customHeight="1" s="15">
      <c r="A23" s="17" t="inlineStr">
        <is>
          <t>HSK-0022</t>
        </is>
      </c>
      <c r="B23" s="17" t="inlineStr">
        <is>
          <t>champu-acidificante-300-ml</t>
        </is>
      </c>
      <c r="C23" s="17" t="n"/>
      <c r="D23" s="17" t="inlineStr">
        <is>
          <t>Haskell</t>
        </is>
      </c>
      <c r="E23" s="17" t="inlineStr">
        <is>
          <t>Shampoo Acidificante 300ml</t>
        </is>
      </c>
      <c r="F23" s="17" t="inlineStr">
        <is>
          <t>Champu acidificante 300 ml</t>
        </is>
      </c>
      <c r="G23" s="17" t="inlineStr">
        <is>
          <t>Acidificante</t>
        </is>
      </c>
      <c r="H23" s="17" t="inlineStr">
        <is>
          <t>Tratamentos Capilares</t>
        </is>
      </c>
      <c r="I23" s="17" t="inlineStr">
        <is>
          <t>Tratamientos capilares</t>
        </is>
      </c>
      <c r="J23" s="17" t="inlineStr">
        <is>
          <t>Reconstrucao pos-quimica</t>
        </is>
      </c>
      <c r="K23" s="17" t="inlineStr">
        <is>
          <t>Reconstruccion post-quimica</t>
        </is>
      </c>
      <c r="L23" s="17" t="inlineStr">
        <is>
          <t>Shampoo</t>
        </is>
      </c>
      <c r="M23" s="17" t="inlineStr">
        <is>
          <t>Champu</t>
        </is>
      </c>
      <c r="N23" s="17" t="inlineStr">
        <is>
          <t>300 ml</t>
        </is>
      </c>
      <c r="O23" s="17" t="n">
        <v>300</v>
      </c>
      <c r="P23" s="17" t="inlineStr">
        <is>
          <t>ml</t>
        </is>
      </c>
      <c r="Q23" s="18" t="n">
        <v>62.9</v>
      </c>
      <c r="R23" s="18" t="n"/>
      <c r="S23" s="19">
        <f>IF(ISBLANK(R23),0,IFERROR((Q23-R23)/Q23,0))</f>
        <v/>
      </c>
      <c r="T23" s="17">
        <f>R23&lt;&gt;""</f>
        <v/>
      </c>
      <c r="U23" s="17">
        <f>TRUE()</f>
        <v/>
      </c>
      <c r="V23" s="17" t="n"/>
      <c r="W23" s="17" t="inlineStr">
        <is>
          <t>Champu de limpieza suave de la linea Acidificante, que prepara el cabello para el tratamiento: ayuda a reconstruir el cabello danado por procesos quimicos y a equilibrar el pH de los hilos.</t>
        </is>
      </c>
      <c r="X23" s="17" t="n"/>
      <c r="Y23" s="17" t="inlineStr">
        <is>
          <t>Limpieza suave sin resecar | Prepara el cabello para el resto de la rutina | Respeta el equilibrio del cuero cabelludo</t>
        </is>
      </c>
      <c r="Z23" s="17" t="n"/>
      <c r="AA23" s="17" t="inlineStr">
        <is>
          <t>Limpiador suave</t>
        </is>
      </c>
      <c r="AB23" s="17" t="n"/>
      <c r="AC23" s="17" t="inlineStr">
        <is>
          <t>Aplicar sobre el cabello mojado, masajear el cuero cabelludo con movimientos suaves y enjuagar bien.</t>
        </is>
      </c>
      <c r="AD23" s="17" t="inlineStr">
        <is>
          <t>Blend de vinagres | Arginina</t>
        </is>
      </c>
      <c r="AE23" s="17" t="inlineStr">
        <is>
          <t>Blend de vinagres | Arginina</t>
        </is>
      </c>
      <c r="AF23" s="17" t="n"/>
      <c r="AG23" s="17" t="n"/>
      <c r="AH23" s="20" t="inlineStr">
        <is>
          <t>shampoo-acidificante-300ml.webp</t>
        </is>
      </c>
      <c r="AI23" s="17" t="n"/>
      <c r="AJ23" s="17" t="inlineStr">
        <is>
          <t>Cabello danado por procesos quimicos, con porosidad alta</t>
        </is>
      </c>
      <c r="AK23" s="17" t="inlineStr">
        <is>
          <t>https://haskellcosmeticos.com.br/tratamentos-capilares/linha-acidificante-haskell/</t>
        </is>
      </c>
      <c r="AL23" s="17" t="inlineStr">
        <is>
          <t>2026-07-24</t>
        </is>
      </c>
      <c r="AM23" s="21">
        <f>IF(ISBLANK(Q23),"",Q23*Parametros_PEN!$B$2)</f>
        <v/>
      </c>
      <c r="AN23" s="21">
        <f>IF(ISBLANK(Q23),"",Q23*Parametros_PEN!$B$2*(1+Parametros_PEN!$B$3))</f>
        <v/>
      </c>
      <c r="AO23" s="21">
        <f>IF(ISBLANK(R23),"",R23*Parametros_PEN!$B$2)</f>
        <v/>
      </c>
      <c r="AP23" s="21">
        <f>IF(ISBLANK(R23),"",R23*Parametros_PEN!$B$2*(1+Parametros_PEN!$B$3))</f>
        <v/>
      </c>
    </row>
    <row r="24" ht="35.05" customHeight="1" s="15">
      <c r="A24" s="17" t="inlineStr">
        <is>
          <t>HSK-0023</t>
        </is>
      </c>
      <c r="B24" s="17" t="inlineStr">
        <is>
          <t>fluido-reconstructor-acidificante-200-ml</t>
        </is>
      </c>
      <c r="C24" s="17" t="n"/>
      <c r="D24" s="17" t="inlineStr">
        <is>
          <t>Haskell</t>
        </is>
      </c>
      <c r="E24" s="17" t="inlineStr">
        <is>
          <t>Fluido Reconstrutor Acidificante 200ml</t>
        </is>
      </c>
      <c r="F24" s="17" t="inlineStr">
        <is>
          <t>Fluido reconstructor acidificante 200 ml</t>
        </is>
      </c>
      <c r="G24" s="17" t="inlineStr">
        <is>
          <t>Acidificante</t>
        </is>
      </c>
      <c r="H24" s="17" t="inlineStr">
        <is>
          <t>Tratamentos Capilares</t>
        </is>
      </c>
      <c r="I24" s="17" t="inlineStr">
        <is>
          <t>Tratamientos capilares</t>
        </is>
      </c>
      <c r="J24" s="17" t="inlineStr">
        <is>
          <t>Reconstrucao pos-quimica</t>
        </is>
      </c>
      <c r="K24" s="17" t="inlineStr">
        <is>
          <t>Reconstruccion post-quimica</t>
        </is>
      </c>
      <c r="L24" s="17" t="inlineStr">
        <is>
          <t>Fluido</t>
        </is>
      </c>
      <c r="M24" s="17" t="inlineStr">
        <is>
          <t>Fluido finalizador</t>
        </is>
      </c>
      <c r="N24" s="17" t="inlineStr">
        <is>
          <t>200 ml</t>
        </is>
      </c>
      <c r="O24" s="17" t="n">
        <v>200</v>
      </c>
      <c r="P24" s="17" t="inlineStr">
        <is>
          <t>ml</t>
        </is>
      </c>
      <c r="Q24" s="18" t="n">
        <v>59.9</v>
      </c>
      <c r="R24" s="18" t="n"/>
      <c r="S24" s="19">
        <f>IF(ISBLANK(R24),0,IFERROR((Q24-R24)/Q24,0))</f>
        <v/>
      </c>
      <c r="T24" s="17">
        <f>R24&lt;&gt;""</f>
        <v/>
      </c>
      <c r="U24" s="17">
        <f>TRUE()</f>
        <v/>
      </c>
      <c r="V24" s="17" t="n"/>
      <c r="W24" s="17" t="inlineStr">
        <is>
          <t>Fluido finalizador sin enjuague de la linea Acidificante: ayuda a reconstruir el cabello danado por procesos quimicos y a equilibrar el pH de los hilos.</t>
        </is>
      </c>
      <c r="X24" s="17" t="n"/>
      <c r="Y24" s="17" t="inlineStr">
        <is>
          <t>Finalizador sin enjuague | Facilita el peinado | Protege del calor y de agresiones externas</t>
        </is>
      </c>
      <c r="Z24" s="17" t="n"/>
      <c r="AA24" s="17" t="inlineStr">
        <is>
          <t>Finalizador</t>
        </is>
      </c>
      <c r="AB24" s="17" t="n"/>
      <c r="AC24" s="17" t="inlineStr">
        <is>
          <t>Aplicar sobre el cabello limpio y humedo, distribuir en todo el largo y finalizar como se prefiera.</t>
        </is>
      </c>
      <c r="AD24" s="17" t="inlineStr">
        <is>
          <t>Blend de vinagres | Arginina</t>
        </is>
      </c>
      <c r="AE24" s="17" t="inlineStr">
        <is>
          <t>Blend de vinagres | Arginina</t>
        </is>
      </c>
      <c r="AF24" s="17" t="n"/>
      <c r="AG24" s="17" t="n"/>
      <c r="AH24" s="20" t="inlineStr">
        <is>
          <t>fluido-reconstrutor-acidificante-200ml.webp</t>
        </is>
      </c>
      <c r="AI24" s="17" t="n"/>
      <c r="AJ24" s="17" t="inlineStr">
        <is>
          <t>Cabello danado por procesos quimicos, con porosidad alta</t>
        </is>
      </c>
      <c r="AK24" s="17" t="inlineStr">
        <is>
          <t>https://haskellcosmeticos.com.br/tratamentos-capilares/linha-acidificante-haskell/</t>
        </is>
      </c>
      <c r="AL24" s="17" t="inlineStr">
        <is>
          <t>2026-07-24</t>
        </is>
      </c>
      <c r="AM24" s="21">
        <f>IF(ISBLANK(Q24),"",Q24*Parametros_PEN!$B$2)</f>
        <v/>
      </c>
      <c r="AN24" s="21">
        <f>IF(ISBLANK(Q24),"",Q24*Parametros_PEN!$B$2*(1+Parametros_PEN!$B$3))</f>
        <v/>
      </c>
      <c r="AO24" s="21">
        <f>IF(ISBLANK(R24),"",R24*Parametros_PEN!$B$2)</f>
        <v/>
      </c>
      <c r="AP24" s="21">
        <f>IF(ISBLANK(R24),"",R24*Parametros_PEN!$B$2*(1+Parametros_PEN!$B$3))</f>
        <v/>
      </c>
    </row>
    <row r="25" ht="46.25" customHeight="1" s="15">
      <c r="A25" s="17" t="inlineStr">
        <is>
          <t>HSK-0024</t>
        </is>
      </c>
      <c r="B25" s="17" t="inlineStr">
        <is>
          <t>supermascarilla-acidificante-matizadora-240-g</t>
        </is>
      </c>
      <c r="C25" s="17" t="n"/>
      <c r="D25" s="17" t="inlineStr">
        <is>
          <t>Haskell</t>
        </is>
      </c>
      <c r="E25" s="17" t="inlineStr">
        <is>
          <t>Supermascara Acidificante Matizadora 240g</t>
        </is>
      </c>
      <c r="F25" s="17" t="inlineStr">
        <is>
          <t>Supermascarilla acidificante matizadora 240 g</t>
        </is>
      </c>
      <c r="G25" s="17" t="inlineStr">
        <is>
          <t>Acidificante Matizadora</t>
        </is>
      </c>
      <c r="H25" s="17" t="inlineStr">
        <is>
          <t>Tratamentos Capilares</t>
        </is>
      </c>
      <c r="I25" s="17" t="inlineStr">
        <is>
          <t>Tratamientos capilares</t>
        </is>
      </c>
      <c r="J25" s="17" t="inlineStr">
        <is>
          <t>Matizacao acida</t>
        </is>
      </c>
      <c r="K25" s="17" t="inlineStr">
        <is>
          <t>Matizacion acida para cabello rubio o canoso</t>
        </is>
      </c>
      <c r="L25" s="17" t="inlineStr">
        <is>
          <t>Mascara de Tratamento</t>
        </is>
      </c>
      <c r="M25" s="17" t="inlineStr">
        <is>
          <t>Mascarilla de tratamiento</t>
        </is>
      </c>
      <c r="N25" s="17" t="inlineStr">
        <is>
          <t>240 g</t>
        </is>
      </c>
      <c r="O25" s="17" t="n">
        <v>240</v>
      </c>
      <c r="P25" s="17" t="inlineStr">
        <is>
          <t>g</t>
        </is>
      </c>
      <c r="Q25" s="18" t="n">
        <v>74.90000000000001</v>
      </c>
      <c r="R25" s="18" t="n"/>
      <c r="S25" s="19">
        <f>IF(ISBLANK(R25),0,IFERROR((Q25-R25)/Q25,0))</f>
        <v/>
      </c>
      <c r="T25" s="17">
        <f>R25&lt;&gt;""</f>
        <v/>
      </c>
      <c r="U25" s="17">
        <f>TRUE()</f>
        <v/>
      </c>
      <c r="V25" s="17" t="n"/>
      <c r="W25" s="17" t="inlineStr">
        <is>
          <t>Mascarilla de tratamiento concentrada de la linea Acidificante Matizadora, de uso posterior al champu: neutraliza el tono amarillento y equilibra el pH del cabello rubio, decolorado o canoso.</t>
        </is>
      </c>
      <c r="X25" s="17" t="n"/>
      <c r="Y25" s="17" t="inlineStr">
        <is>
          <t>Tratamiento concentrado | Actua en profundidad sobre la fibra capilar | Refuerza el resultado de la linea</t>
        </is>
      </c>
      <c r="Z25" s="17" t="n"/>
      <c r="AA25" s="17" t="inlineStr">
        <is>
          <t>Tratamiento intensivo</t>
        </is>
      </c>
      <c r="AB25" s="17" t="n"/>
      <c r="AC25" s="17" t="inlineStr">
        <is>
          <t>Aplicar mechon por mechon despues del champu, dejar actuar de 3 a 5 minutos y enjuagar bien.</t>
        </is>
      </c>
      <c r="AD25" s="17" t="inlineStr">
        <is>
          <t>Blend de vinagres | Arginina</t>
        </is>
      </c>
      <c r="AE25" s="17" t="inlineStr">
        <is>
          <t>Blend de vinagres | Arginina</t>
        </is>
      </c>
      <c r="AF25" s="17" t="n"/>
      <c r="AG25" s="17" t="n"/>
      <c r="AH25" s="20" t="inlineStr">
        <is>
          <t>Supermascarilla acidificante matizadora 240 g.webp</t>
        </is>
      </c>
      <c r="AI25" s="17" t="n"/>
      <c r="AJ25" s="17" t="inlineStr">
        <is>
          <t>Cabello rubio, decolorado o canoso con tono amarillento</t>
        </is>
      </c>
      <c r="AK25" s="17" t="inlineStr">
        <is>
          <t>https://haskellcosmeticos.com.br/tratamentos-capilares/acidificante-matizadora/</t>
        </is>
      </c>
      <c r="AL25" s="17" t="inlineStr">
        <is>
          <t>2026-07-24</t>
        </is>
      </c>
      <c r="AM25" s="21">
        <f>IF(ISBLANK(Q25),"",Q25*Parametros_PEN!$B$2)</f>
        <v/>
      </c>
      <c r="AN25" s="21">
        <f>IF(ISBLANK(Q25),"",Q25*Parametros_PEN!$B$2*(1+Parametros_PEN!$B$3))</f>
        <v/>
      </c>
      <c r="AO25" s="21">
        <f>IF(ISBLANK(R25),"",R25*Parametros_PEN!$B$2)</f>
        <v/>
      </c>
      <c r="AP25" s="21">
        <f>IF(ISBLANK(R25),"",R25*Parametros_PEN!$B$2*(1+Parametros_PEN!$B$3))</f>
        <v/>
      </c>
    </row>
    <row r="26" ht="46.25" customHeight="1" s="15">
      <c r="A26" s="17" t="inlineStr">
        <is>
          <t>HSK-0025</t>
        </is>
      </c>
      <c r="B26" s="17" t="inlineStr">
        <is>
          <t>champu-acidificante-matizador-300-ml</t>
        </is>
      </c>
      <c r="C26" s="17" t="n"/>
      <c r="D26" s="17" t="inlineStr">
        <is>
          <t>Haskell</t>
        </is>
      </c>
      <c r="E26" s="17" t="inlineStr">
        <is>
          <t>Shampoo Acidificante Matizador 300ml</t>
        </is>
      </c>
      <c r="F26" s="17" t="inlineStr">
        <is>
          <t>Champu acidificante matizador 300 ml</t>
        </is>
      </c>
      <c r="G26" s="17" t="inlineStr">
        <is>
          <t>Acidificante Matizadora</t>
        </is>
      </c>
      <c r="H26" s="17" t="inlineStr">
        <is>
          <t>Tratamentos Capilares</t>
        </is>
      </c>
      <c r="I26" s="17" t="inlineStr">
        <is>
          <t>Tratamientos capilares</t>
        </is>
      </c>
      <c r="J26" s="17" t="inlineStr">
        <is>
          <t>Matizacao acida</t>
        </is>
      </c>
      <c r="K26" s="17" t="inlineStr">
        <is>
          <t>Matizacion acida para cabello rubio o canoso</t>
        </is>
      </c>
      <c r="L26" s="17" t="inlineStr">
        <is>
          <t>Shampoo</t>
        </is>
      </c>
      <c r="M26" s="17" t="inlineStr">
        <is>
          <t>Champu</t>
        </is>
      </c>
      <c r="N26" s="17" t="inlineStr">
        <is>
          <t>300 ml</t>
        </is>
      </c>
      <c r="O26" s="17" t="n">
        <v>300</v>
      </c>
      <c r="P26" s="17" t="inlineStr">
        <is>
          <t>ml</t>
        </is>
      </c>
      <c r="Q26" s="18" t="n">
        <v>62.9</v>
      </c>
      <c r="R26" s="18" t="n"/>
      <c r="S26" s="19">
        <f>IF(ISBLANK(R26),0,IFERROR((Q26-R26)/Q26,0))</f>
        <v/>
      </c>
      <c r="T26" s="17">
        <f>R26&lt;&gt;""</f>
        <v/>
      </c>
      <c r="U26" s="17">
        <f>TRUE()</f>
        <v/>
      </c>
      <c r="V26" s="17" t="n"/>
      <c r="W26" s="17" t="inlineStr">
        <is>
          <t>Champu de limpieza suave de la linea Acidificante Matizadora, que prepara el cabello para el tratamiento: neutraliza el tono amarillento y equilibra el pH del cabello rubio, decolorado o canoso.</t>
        </is>
      </c>
      <c r="X26" s="17" t="n"/>
      <c r="Y26" s="17" t="inlineStr">
        <is>
          <t>Limpieza suave sin resecar | Prepara el cabello para el resto de la rutina | Respeta el equilibrio del cuero cabelludo</t>
        </is>
      </c>
      <c r="Z26" s="17" t="n"/>
      <c r="AA26" s="17" t="inlineStr">
        <is>
          <t>Limpiador suave</t>
        </is>
      </c>
      <c r="AB26" s="17" t="n"/>
      <c r="AC26" s="17" t="inlineStr">
        <is>
          <t>Aplicar sobre el cabello mojado, masajear el cuero cabelludo con movimientos suaves y enjuagar bien.</t>
        </is>
      </c>
      <c r="AD26" s="17" t="inlineStr">
        <is>
          <t>Blend de vinagres | Arginina</t>
        </is>
      </c>
      <c r="AE26" s="17" t="inlineStr">
        <is>
          <t>Blend de vinagres | Arginina</t>
        </is>
      </c>
      <c r="AF26" s="17" t="n"/>
      <c r="AG26" s="17" t="n"/>
      <c r="AH26" s="20" t="inlineStr">
        <is>
          <t>shampoo-acidificante-matizador-300ml.webp</t>
        </is>
      </c>
      <c r="AI26" s="20" t="inlineStr">
        <is>
          <t>shampoo-acidificante-matizador-300ml_02.webp</t>
        </is>
      </c>
      <c r="AJ26" s="17" t="inlineStr">
        <is>
          <t>Cabello rubio, decolorado o canoso con tono amarillento</t>
        </is>
      </c>
      <c r="AK26" s="17" t="inlineStr">
        <is>
          <t>https://haskellcosmeticos.com.br/tratamentos-capilares/acidificante-matizadora/</t>
        </is>
      </c>
      <c r="AL26" s="17" t="inlineStr">
        <is>
          <t>2026-07-24</t>
        </is>
      </c>
      <c r="AM26" s="21">
        <f>IF(ISBLANK(Q26),"",Q26*Parametros_PEN!$B$2)</f>
        <v/>
      </c>
      <c r="AN26" s="21">
        <f>IF(ISBLANK(Q26),"",Q26*Parametros_PEN!$B$2*(1+Parametros_PEN!$B$3))</f>
        <v/>
      </c>
      <c r="AO26" s="21">
        <f>IF(ISBLANK(R26),"",R26*Parametros_PEN!$B$2)</f>
        <v/>
      </c>
      <c r="AP26" s="21">
        <f>IF(ISBLANK(R26),"",R26*Parametros_PEN!$B$2*(1+Parametros_PEN!$B$3))</f>
        <v/>
      </c>
    </row>
    <row r="27" ht="35.05" customHeight="1" s="15">
      <c r="A27" s="17" t="inlineStr">
        <is>
          <t>HSK-0026</t>
        </is>
      </c>
      <c r="B27" s="17" t="inlineStr">
        <is>
          <t>balsamo-cicatrizante-acidificante-matizador-100-ml</t>
        </is>
      </c>
      <c r="C27" s="17" t="n"/>
      <c r="D27" s="17" t="inlineStr">
        <is>
          <t>Haskell</t>
        </is>
      </c>
      <c r="E27" s="17" t="inlineStr">
        <is>
          <t>Balm Cicatrizante Acidificante Matizador 100ml</t>
        </is>
      </c>
      <c r="F27" s="17" t="inlineStr">
        <is>
          <t>Balsamo cicatrizante acidificante matizador 100 ml</t>
        </is>
      </c>
      <c r="G27" s="17" t="inlineStr">
        <is>
          <t>Acidificante Matizadora</t>
        </is>
      </c>
      <c r="H27" s="17" t="inlineStr">
        <is>
          <t>Tratamentos Capilares</t>
        </is>
      </c>
      <c r="I27" s="17" t="inlineStr">
        <is>
          <t>Tratamientos capilares</t>
        </is>
      </c>
      <c r="J27" s="17" t="inlineStr">
        <is>
          <t>Matizacao acida</t>
        </is>
      </c>
      <c r="K27" s="17" t="inlineStr">
        <is>
          <t>Matizacion acida para cabello rubio o canoso</t>
        </is>
      </c>
      <c r="L27" s="17" t="inlineStr">
        <is>
          <t>Balm</t>
        </is>
      </c>
      <c r="M27" s="17" t="inlineStr">
        <is>
          <t>Balsamo</t>
        </is>
      </c>
      <c r="N27" s="17" t="inlineStr">
        <is>
          <t>100 ml</t>
        </is>
      </c>
      <c r="O27" s="17" t="n">
        <v>100</v>
      </c>
      <c r="P27" s="17" t="inlineStr">
        <is>
          <t>ml</t>
        </is>
      </c>
      <c r="Q27" s="18" t="n">
        <v>95.90000000000001</v>
      </c>
      <c r="R27" s="18" t="n"/>
      <c r="S27" s="19">
        <f>IF(ISBLANK(R27),0,IFERROR((Q27-R27)/Q27,0))</f>
        <v/>
      </c>
      <c r="T27" s="17">
        <f>R27&lt;&gt;""</f>
        <v/>
      </c>
      <c r="U27" s="17">
        <f>TRUE()</f>
        <v/>
      </c>
      <c r="V27" s="17" t="n"/>
      <c r="W27" s="17" t="inlineStr">
        <is>
          <t>Balsamo de accion reparadora de la linea Acidificante Matizadora: neutraliza el tono amarillento y equilibra el pH del cabello rubio, decolorado o canoso.</t>
        </is>
      </c>
      <c r="X27" s="17" t="n"/>
      <c r="Y27" s="17" t="inlineStr">
        <is>
          <t>Accion reparadora localizada | Complementa el tratamiento de la linea</t>
        </is>
      </c>
      <c r="Z27" s="17" t="n"/>
      <c r="AA27" s="17" t="inlineStr">
        <is>
          <t>Balsamo tratante</t>
        </is>
      </c>
      <c r="AB27" s="17" t="n"/>
      <c r="AC27" s="17" t="inlineStr">
        <is>
          <t>Aplicar sobre el cabello segun las indicaciones del envase, como parte de la rutina de la linea.</t>
        </is>
      </c>
      <c r="AD27" s="17" t="inlineStr">
        <is>
          <t>Blend de vinagres | Arginina</t>
        </is>
      </c>
      <c r="AE27" s="17" t="inlineStr">
        <is>
          <t>Blend de vinagres | Arginina</t>
        </is>
      </c>
      <c r="AF27" s="17" t="n"/>
      <c r="AG27" s="17" t="n"/>
      <c r="AH27" s="20" t="inlineStr">
        <is>
          <t>balm-cicatrizante-acidificante-matizador-100ml.webp</t>
        </is>
      </c>
      <c r="AI27" s="20" t="inlineStr">
        <is>
          <t>balm-cicatrizante-acidificante-matizador-100ml_02.webp</t>
        </is>
      </c>
      <c r="AJ27" s="17" t="inlineStr">
        <is>
          <t>Cabello rubio, decolorado o canoso con tono amarillento</t>
        </is>
      </c>
      <c r="AK27" s="17" t="inlineStr">
        <is>
          <t>https://haskellcosmeticos.com.br/tratamentos-capilares/acidificante-matizadora/</t>
        </is>
      </c>
      <c r="AL27" s="17" t="inlineStr">
        <is>
          <t>2026-07-24</t>
        </is>
      </c>
      <c r="AM27" s="21">
        <f>IF(ISBLANK(Q27),"",Q27*Parametros_PEN!$B$2)</f>
        <v/>
      </c>
      <c r="AN27" s="21">
        <f>IF(ISBLANK(Q27),"",Q27*Parametros_PEN!$B$2*(1+Parametros_PEN!$B$3))</f>
        <v/>
      </c>
      <c r="AO27" s="21">
        <f>IF(ISBLANK(R27),"",R27*Parametros_PEN!$B$2)</f>
        <v/>
      </c>
      <c r="AP27" s="21">
        <f>IF(ISBLANK(R27),"",R27*Parametros_PEN!$B$2*(1+Parametros_PEN!$B$3))</f>
        <v/>
      </c>
    </row>
    <row r="28" ht="46.25" customHeight="1" s="15">
      <c r="A28" s="17" t="inlineStr">
        <is>
          <t>HSK-0027</t>
        </is>
      </c>
      <c r="B28" s="17" t="inlineStr">
        <is>
          <t>champu-amatista-desamarilladora-300-ml</t>
        </is>
      </c>
      <c r="C28" s="17" t="n"/>
      <c r="D28" s="17" t="inlineStr">
        <is>
          <t>Haskell</t>
        </is>
      </c>
      <c r="E28" s="17" t="inlineStr">
        <is>
          <t>Shampoo Ametista Desamareladora 300ml</t>
        </is>
      </c>
      <c r="F28" s="17" t="inlineStr">
        <is>
          <t>Champu amatista desamarilladora 300 ml</t>
        </is>
      </c>
      <c r="G28" s="17" t="inlineStr">
        <is>
          <t>Ametista Desamareladora</t>
        </is>
      </c>
      <c r="H28" s="17" t="inlineStr">
        <is>
          <t>Tratamentos Capilares</t>
        </is>
      </c>
      <c r="I28" s="17" t="inlineStr">
        <is>
          <t>Tratamientos capilares</t>
        </is>
      </c>
      <c r="J28" s="17" t="inlineStr">
        <is>
          <t>Desamarelamento gradual</t>
        </is>
      </c>
      <c r="K28" s="17" t="inlineStr">
        <is>
          <t>Desamarillamiento gradual</t>
        </is>
      </c>
      <c r="L28" s="17" t="inlineStr">
        <is>
          <t>Shampoo</t>
        </is>
      </c>
      <c r="M28" s="17" t="inlineStr">
        <is>
          <t>Champu</t>
        </is>
      </c>
      <c r="N28" s="17" t="inlineStr">
        <is>
          <t>300 ml</t>
        </is>
      </c>
      <c r="O28" s="17" t="n">
        <v>300</v>
      </c>
      <c r="P28" s="17" t="inlineStr">
        <is>
          <t>ml</t>
        </is>
      </c>
      <c r="Q28" s="18" t="n">
        <v>62.9</v>
      </c>
      <c r="R28" s="18" t="n"/>
      <c r="S28" s="19">
        <f>IF(ISBLANK(R28),0,IFERROR((Q28-R28)/Q28,0))</f>
        <v/>
      </c>
      <c r="T28" s="17">
        <f>R28&lt;&gt;""</f>
        <v/>
      </c>
      <c r="U28" s="17">
        <f>TRUE()</f>
        <v/>
      </c>
      <c r="V28" s="17" t="n"/>
      <c r="W28" s="17" t="inlineStr">
        <is>
          <t>Champu de limpieza suave de la linea Ametista Desamareladora, que prepara el cabello para el tratamiento: neutraliza de forma gradual los reflejos amarillentos y aporta brillo.</t>
        </is>
      </c>
      <c r="X28" s="17" t="n"/>
      <c r="Y28" s="17" t="inlineStr">
        <is>
          <t>Limpieza suave sin resecar | Prepara el cabello para el resto de la rutina | Respeta el equilibrio del cuero cabelludo</t>
        </is>
      </c>
      <c r="Z28" s="17" t="n"/>
      <c r="AA28" s="17" t="inlineStr">
        <is>
          <t>Limpiador suave</t>
        </is>
      </c>
      <c r="AB28" s="17" t="n"/>
      <c r="AC28" s="17" t="inlineStr">
        <is>
          <t>Aplicar sobre el cabello mojado, masajear el cuero cabelludo con movimientos suaves y enjuagar bien.</t>
        </is>
      </c>
      <c r="AD28" s="17" t="inlineStr">
        <is>
          <t>Ametista (mineral) | Blend de aminoacidos</t>
        </is>
      </c>
      <c r="AE28" s="17" t="inlineStr">
        <is>
          <t>Amatista (mineral) | Blend de aminoacidos</t>
        </is>
      </c>
      <c r="AF28" s="17" t="n"/>
      <c r="AG28" s="17" t="n"/>
      <c r="AH28" s="20" t="inlineStr">
        <is>
          <t>shampoo-ametista-desamareladora-300ml.webp</t>
        </is>
      </c>
      <c r="AI28" s="17" t="n"/>
      <c r="AJ28" s="17" t="inlineStr">
        <is>
          <t>Cabello rubio, decolorado, canoso o cabello oscuro que necesita mas brillo</t>
        </is>
      </c>
      <c r="AK28" s="17" t="inlineStr">
        <is>
          <t>https://haskellcosmeticos.com.br/tratamentos-capilares/linha-ametista-haskell/</t>
        </is>
      </c>
      <c r="AL28" s="17" t="inlineStr">
        <is>
          <t>2026-07-24</t>
        </is>
      </c>
      <c r="AM28" s="21">
        <f>IF(ISBLANK(Q28),"",Q28*Parametros_PEN!$B$2)</f>
        <v/>
      </c>
      <c r="AN28" s="21">
        <f>IF(ISBLANK(Q28),"",Q28*Parametros_PEN!$B$2*(1+Parametros_PEN!$B$3))</f>
        <v/>
      </c>
      <c r="AO28" s="21">
        <f>IF(ISBLANK(R28),"",R28*Parametros_PEN!$B$2)</f>
        <v/>
      </c>
      <c r="AP28" s="21">
        <f>IF(ISBLANK(R28),"",R28*Parametros_PEN!$B$2*(1+Parametros_PEN!$B$3))</f>
        <v/>
      </c>
    </row>
    <row r="29" ht="46.25" customHeight="1" s="15">
      <c r="A29" s="17" t="inlineStr">
        <is>
          <t>HSK-0028</t>
        </is>
      </c>
      <c r="B29" s="17" t="inlineStr">
        <is>
          <t>acondicionador-amatista-desamarilladora-300-ml</t>
        </is>
      </c>
      <c r="C29" s="17" t="n"/>
      <c r="D29" s="17" t="inlineStr">
        <is>
          <t>Haskell</t>
        </is>
      </c>
      <c r="E29" s="17" t="inlineStr">
        <is>
          <t>Condicionador Ametista Desamareladora 300ml</t>
        </is>
      </c>
      <c r="F29" s="17" t="inlineStr">
        <is>
          <t>Acondicionador amatista desamarilladora 300 ml</t>
        </is>
      </c>
      <c r="G29" s="17" t="inlineStr">
        <is>
          <t>Ametista Desamareladora</t>
        </is>
      </c>
      <c r="H29" s="17" t="inlineStr">
        <is>
          <t>Tratamentos Capilares</t>
        </is>
      </c>
      <c r="I29" s="17" t="inlineStr">
        <is>
          <t>Tratamientos capilares</t>
        </is>
      </c>
      <c r="J29" s="17" t="inlineStr">
        <is>
          <t>Desamarelamento gradual</t>
        </is>
      </c>
      <c r="K29" s="17" t="inlineStr">
        <is>
          <t>Desamarillamiento gradual</t>
        </is>
      </c>
      <c r="L29" s="17" t="inlineStr">
        <is>
          <t>Condicionador</t>
        </is>
      </c>
      <c r="M29" s="17" t="inlineStr">
        <is>
          <t>Acondicionador</t>
        </is>
      </c>
      <c r="N29" s="17" t="inlineStr">
        <is>
          <t>300 ml</t>
        </is>
      </c>
      <c r="O29" s="17" t="n">
        <v>300</v>
      </c>
      <c r="P29" s="17" t="inlineStr">
        <is>
          <t>ml</t>
        </is>
      </c>
      <c r="Q29" s="18" t="n">
        <v>62.9</v>
      </c>
      <c r="R29" s="18" t="n"/>
      <c r="S29" s="19">
        <f>IF(ISBLANK(R29),0,IFERROR((Q29-R29)/Q29,0))</f>
        <v/>
      </c>
      <c r="T29" s="17">
        <f>R29&lt;&gt;""</f>
        <v/>
      </c>
      <c r="U29" s="17">
        <f>TRUE()</f>
        <v/>
      </c>
      <c r="V29" s="17" t="n"/>
      <c r="W29" s="17" t="inlineStr">
        <is>
          <t>Acondicionador de la linea Ametista Desamareladora que facilita el desenredado y sella la cuticula: neutraliza de forma gradual los reflejos amarillentos y aporta brillo.</t>
        </is>
      </c>
      <c r="X29" s="17" t="n"/>
      <c r="Y29" s="17" t="inlineStr">
        <is>
          <t>Facilita el desenredado | Sella la cuticula | Aporta suavidad y brillo</t>
        </is>
      </c>
      <c r="Z29" s="17" t="n"/>
      <c r="AA29" s="17" t="inlineStr">
        <is>
          <t>Acondicionador</t>
        </is>
      </c>
      <c r="AB29" s="17" t="n"/>
      <c r="AC29" s="17" t="inlineStr">
        <is>
          <t>Aplicar en el largo y las puntas del cabello despues del champu, dejar actuar unos minutos y enjuagar.</t>
        </is>
      </c>
      <c r="AD29" s="17" t="inlineStr">
        <is>
          <t>Ametista (mineral) | Blend de aminoacidos</t>
        </is>
      </c>
      <c r="AE29" s="17" t="inlineStr">
        <is>
          <t>Amatista (mineral) | Blend de aminoacidos</t>
        </is>
      </c>
      <c r="AF29" s="17" t="n"/>
      <c r="AG29" s="17" t="n"/>
      <c r="AH29" s="20" t="inlineStr">
        <is>
          <t>condicionador-ametista-desamareladora-300ml.webp</t>
        </is>
      </c>
      <c r="AI29" s="17" t="n"/>
      <c r="AJ29" s="17" t="inlineStr">
        <is>
          <t>Cabello rubio, decolorado, canoso o cabello oscuro que necesita mas brillo</t>
        </is>
      </c>
      <c r="AK29" s="17" t="inlineStr">
        <is>
          <t>https://haskellcosmeticos.com.br/tratamentos-capilares/linha-ametista-haskell/</t>
        </is>
      </c>
      <c r="AL29" s="17" t="inlineStr">
        <is>
          <t>2026-07-24</t>
        </is>
      </c>
      <c r="AM29" s="21">
        <f>IF(ISBLANK(Q29),"",Q29*Parametros_PEN!$B$2)</f>
        <v/>
      </c>
      <c r="AN29" s="21">
        <f>IF(ISBLANK(Q29),"",Q29*Parametros_PEN!$B$2*(1+Parametros_PEN!$B$3))</f>
        <v/>
      </c>
      <c r="AO29" s="21">
        <f>IF(ISBLANK(R29),"",R29*Parametros_PEN!$B$2)</f>
        <v/>
      </c>
      <c r="AP29" s="21">
        <f>IF(ISBLANK(R29),"",R29*Parametros_PEN!$B$2*(1+Parametros_PEN!$B$3))</f>
        <v/>
      </c>
    </row>
    <row r="30" ht="46.25" customHeight="1" s="15">
      <c r="A30" s="17" t="inlineStr">
        <is>
          <t>HSK-0029</t>
        </is>
      </c>
      <c r="B30" s="17" t="inlineStr">
        <is>
          <t>mascarilla-de-tratamiento-amatista-desamarilladora-300-g</t>
        </is>
      </c>
      <c r="C30" s="17" t="n"/>
      <c r="D30" s="17" t="inlineStr">
        <is>
          <t>Haskell</t>
        </is>
      </c>
      <c r="E30" s="17" t="inlineStr">
        <is>
          <t>Mascara de Tratamento Ametista Desamareladora 300g</t>
        </is>
      </c>
      <c r="F30" s="17" t="inlineStr">
        <is>
          <t>Mascarilla de tratamiento amatista desamarilladora 300 g</t>
        </is>
      </c>
      <c r="G30" s="17" t="inlineStr">
        <is>
          <t>Ametista Desamareladora</t>
        </is>
      </c>
      <c r="H30" s="17" t="inlineStr">
        <is>
          <t>Tratamentos Capilares</t>
        </is>
      </c>
      <c r="I30" s="17" t="inlineStr">
        <is>
          <t>Tratamientos capilares</t>
        </is>
      </c>
      <c r="J30" s="17" t="inlineStr">
        <is>
          <t>Desamarelamento gradual</t>
        </is>
      </c>
      <c r="K30" s="17" t="inlineStr">
        <is>
          <t>Desamarillamiento gradual</t>
        </is>
      </c>
      <c r="L30" s="17" t="inlineStr">
        <is>
          <t>Mascara de Tratamento</t>
        </is>
      </c>
      <c r="M30" s="17" t="inlineStr">
        <is>
          <t>Mascarilla de tratamiento</t>
        </is>
      </c>
      <c r="N30" s="17" t="inlineStr">
        <is>
          <t>300 g</t>
        </is>
      </c>
      <c r="O30" s="17" t="n">
        <v>300</v>
      </c>
      <c r="P30" s="17" t="inlineStr">
        <is>
          <t>g</t>
        </is>
      </c>
      <c r="Q30" s="18" t="n">
        <v>74.90000000000001</v>
      </c>
      <c r="R30" s="18" t="n"/>
      <c r="S30" s="19">
        <f>IF(ISBLANK(R30),0,IFERROR((Q30-R30)/Q30,0))</f>
        <v/>
      </c>
      <c r="T30" s="17">
        <f>R30&lt;&gt;""</f>
        <v/>
      </c>
      <c r="U30" s="17">
        <f>TRUE()</f>
        <v/>
      </c>
      <c r="V30" s="17" t="n"/>
      <c r="W30" s="17" t="inlineStr">
        <is>
          <t>Mascarilla de tratamiento concentrada de la linea Ametista Desamareladora, de uso posterior al champu: neutraliza de forma gradual los reflejos amarillentos y aporta brillo.</t>
        </is>
      </c>
      <c r="X30" s="17" t="n"/>
      <c r="Y30" s="17" t="inlineStr">
        <is>
          <t>Tratamiento concentrado | Actua en profundidad sobre la fibra capilar | Refuerza el resultado de la linea</t>
        </is>
      </c>
      <c r="Z30" s="17" t="n"/>
      <c r="AA30" s="17" t="inlineStr">
        <is>
          <t>Tratamiento intensivo</t>
        </is>
      </c>
      <c r="AB30" s="17" t="n"/>
      <c r="AC30" s="17" t="inlineStr">
        <is>
          <t>Aplicar mechon por mechon despues del champu, dejar actuar de 3 a 5 minutos y enjuagar bien.</t>
        </is>
      </c>
      <c r="AD30" s="17" t="inlineStr">
        <is>
          <t>Ametista (mineral) | Blend de aminoacidos</t>
        </is>
      </c>
      <c r="AE30" s="17" t="inlineStr">
        <is>
          <t>Amatista (mineral) | Blend de aminoacidos</t>
        </is>
      </c>
      <c r="AF30" s="17" t="n"/>
      <c r="AG30" s="17" t="n"/>
      <c r="AH30" s="20" t="inlineStr">
        <is>
          <t>mascara-de-tratamento-ametista-desamareladora-300g.webp</t>
        </is>
      </c>
      <c r="AI30" s="17" t="n"/>
      <c r="AJ30" s="17" t="inlineStr">
        <is>
          <t>Cabello rubio, decolorado, canoso o cabello oscuro que necesita mas brillo</t>
        </is>
      </c>
      <c r="AK30" s="17" t="inlineStr">
        <is>
          <t>https://haskellcosmeticos.com.br/tratamentos-capilares/linha-ametista-haskell/</t>
        </is>
      </c>
      <c r="AL30" s="17" t="inlineStr">
        <is>
          <t>2026-07-24</t>
        </is>
      </c>
      <c r="AM30" s="21">
        <f>IF(ISBLANK(Q30),"",Q30*Parametros_PEN!$B$2)</f>
        <v/>
      </c>
      <c r="AN30" s="21">
        <f>IF(ISBLANK(Q30),"",Q30*Parametros_PEN!$B$2*(1+Parametros_PEN!$B$3))</f>
        <v/>
      </c>
      <c r="AO30" s="21">
        <f>IF(ISBLANK(R30),"",R30*Parametros_PEN!$B$2)</f>
        <v/>
      </c>
      <c r="AP30" s="21">
        <f>IF(ISBLANK(R30),"",R30*Parametros_PEN!$B$2*(1+Parametros_PEN!$B$3))</f>
        <v/>
      </c>
    </row>
    <row r="31" ht="35.05" customHeight="1" s="15">
      <c r="A31" s="17" t="inlineStr">
        <is>
          <t>HSK-0030</t>
        </is>
      </c>
      <c r="B31" s="17" t="inlineStr">
        <is>
          <t>fluido-iluminador-amatista-desamarilladora-120-ml</t>
        </is>
      </c>
      <c r="C31" s="17" t="n"/>
      <c r="D31" s="17" t="inlineStr">
        <is>
          <t>Haskell</t>
        </is>
      </c>
      <c r="E31" s="17" t="inlineStr">
        <is>
          <t>Fluido Iluminador Ametista Desamareladora 120ml</t>
        </is>
      </c>
      <c r="F31" s="17" t="inlineStr">
        <is>
          <t>Fluido iluminador amatista desamarilladora 120 ml</t>
        </is>
      </c>
      <c r="G31" s="17" t="inlineStr">
        <is>
          <t>Ametista Desamareladora</t>
        </is>
      </c>
      <c r="H31" s="17" t="inlineStr">
        <is>
          <t>Tratamentos Capilares</t>
        </is>
      </c>
      <c r="I31" s="17" t="inlineStr">
        <is>
          <t>Tratamientos capilares</t>
        </is>
      </c>
      <c r="J31" s="17" t="inlineStr">
        <is>
          <t>Desamarelamento gradual</t>
        </is>
      </c>
      <c r="K31" s="17" t="inlineStr">
        <is>
          <t>Desamarillamiento gradual</t>
        </is>
      </c>
      <c r="L31" s="17" t="inlineStr">
        <is>
          <t>Fluido</t>
        </is>
      </c>
      <c r="M31" s="17" t="inlineStr">
        <is>
          <t>Fluido finalizador</t>
        </is>
      </c>
      <c r="N31" s="17" t="inlineStr">
        <is>
          <t>120 ml</t>
        </is>
      </c>
      <c r="O31" s="17" t="n">
        <v>120</v>
      </c>
      <c r="P31" s="17" t="inlineStr">
        <is>
          <t>ml</t>
        </is>
      </c>
      <c r="Q31" s="18" t="n">
        <v>48.9</v>
      </c>
      <c r="R31" s="18" t="n"/>
      <c r="S31" s="19">
        <f>IF(ISBLANK(R31),0,IFERROR((Q31-R31)/Q31,0))</f>
        <v/>
      </c>
      <c r="T31" s="17">
        <f>R31&lt;&gt;""</f>
        <v/>
      </c>
      <c r="U31" s="17">
        <f>TRUE()</f>
        <v/>
      </c>
      <c r="V31" s="17" t="n"/>
      <c r="W31" s="17" t="inlineStr">
        <is>
          <t>Fluido finalizador sin enjuague de la linea Ametista Desamareladora: neutraliza de forma gradual los reflejos amarillentos y aporta brillo.</t>
        </is>
      </c>
      <c r="X31" s="17" t="n"/>
      <c r="Y31" s="17" t="inlineStr">
        <is>
          <t>Finalizador sin enjuague | Facilita el peinado | Protege del calor y de agresiones externas</t>
        </is>
      </c>
      <c r="Z31" s="17" t="n"/>
      <c r="AA31" s="17" t="inlineStr">
        <is>
          <t>Finalizador</t>
        </is>
      </c>
      <c r="AB31" s="17" t="n"/>
      <c r="AC31" s="17" t="inlineStr">
        <is>
          <t>Aplicar sobre el cabello limpio y humedo, distribuir en todo el largo y finalizar como se prefiera.</t>
        </is>
      </c>
      <c r="AD31" s="17" t="inlineStr">
        <is>
          <t>Ametista (mineral) | Blend de aminoacidos</t>
        </is>
      </c>
      <c r="AE31" s="17" t="inlineStr">
        <is>
          <t>Amatista (mineral) | Blend de aminoacidos</t>
        </is>
      </c>
      <c r="AF31" s="17" t="n"/>
      <c r="AG31" s="17" t="n"/>
      <c r="AH31" s="20" t="inlineStr">
        <is>
          <t>fluido-iluminador-ametista-desamareladora-120ml.webp</t>
        </is>
      </c>
      <c r="AI31" s="17" t="n"/>
      <c r="AJ31" s="17" t="inlineStr">
        <is>
          <t>Cabello rubio, decolorado, canoso o cabello oscuro que necesita mas brillo</t>
        </is>
      </c>
      <c r="AK31" s="17" t="inlineStr">
        <is>
          <t>https://haskellcosmeticos.com.br/tratamentos-capilares/linha-ametista-haskell/</t>
        </is>
      </c>
      <c r="AL31" s="17" t="inlineStr">
        <is>
          <t>2026-07-24</t>
        </is>
      </c>
      <c r="AM31" s="21">
        <f>IF(ISBLANK(Q31),"",Q31*Parametros_PEN!$B$2)</f>
        <v/>
      </c>
      <c r="AN31" s="21">
        <f>IF(ISBLANK(Q31),"",Q31*Parametros_PEN!$B$2*(1+Parametros_PEN!$B$3))</f>
        <v/>
      </c>
      <c r="AO31" s="21">
        <f>IF(ISBLANK(R31),"",R31*Parametros_PEN!$B$2)</f>
        <v/>
      </c>
      <c r="AP31" s="21">
        <f>IF(ISBLANK(R31),"",R31*Parametros_PEN!$B$2*(1+Parametros_PEN!$B$3))</f>
        <v/>
      </c>
    </row>
    <row r="32" ht="46.25" customHeight="1" s="15">
      <c r="A32" s="17" t="inlineStr">
        <is>
          <t>HSK-0031</t>
        </is>
      </c>
      <c r="B32" s="17" t="inlineStr">
        <is>
          <t>champu-bananeira-posquimica-300-ml</t>
        </is>
      </c>
      <c r="C32" s="17" t="n"/>
      <c r="D32" s="17" t="inlineStr">
        <is>
          <t>Haskell</t>
        </is>
      </c>
      <c r="E32" s="17" t="inlineStr">
        <is>
          <t>Shampoo Bananeira Pos-Quimica 300ml</t>
        </is>
      </c>
      <c r="F32" s="17" t="inlineStr">
        <is>
          <t>Champu Bananeira Posquimica 300 ml</t>
        </is>
      </c>
      <c r="G32" s="17" t="inlineStr">
        <is>
          <t>Bananeira Pos-Quimica</t>
        </is>
      </c>
      <c r="H32" s="17" t="inlineStr">
        <is>
          <t>Tratamentos Capilares</t>
        </is>
      </c>
      <c r="I32" s="17" t="inlineStr">
        <is>
          <t>Tratamientos capilares</t>
        </is>
      </c>
      <c r="J32" s="17" t="inlineStr">
        <is>
          <t>Reposicao de massa pos-quimica</t>
        </is>
      </c>
      <c r="K32" s="17" t="inlineStr">
        <is>
          <t>Reposicion de masa capilar post-quimica</t>
        </is>
      </c>
      <c r="L32" s="17" t="inlineStr">
        <is>
          <t>Shampoo</t>
        </is>
      </c>
      <c r="M32" s="17" t="inlineStr">
        <is>
          <t>Champu</t>
        </is>
      </c>
      <c r="N32" s="17" t="inlineStr">
        <is>
          <t>300 ml</t>
        </is>
      </c>
      <c r="O32" s="17" t="n">
        <v>300</v>
      </c>
      <c r="P32" s="17" t="inlineStr">
        <is>
          <t>ml</t>
        </is>
      </c>
      <c r="Q32" s="18" t="n">
        <v>62.9</v>
      </c>
      <c r="R32" s="18" t="n"/>
      <c r="S32" s="19">
        <f>IF(ISBLANK(R32),0,IFERROR((Q32-R32)/Q32,0))</f>
        <v/>
      </c>
      <c r="T32" s="17">
        <f>R32&lt;&gt;""</f>
        <v/>
      </c>
      <c r="U32" s="17">
        <f>TRUE()</f>
        <v/>
      </c>
      <c r="V32" s="17" t="n"/>
      <c r="W32" s="17" t="inlineStr">
        <is>
          <t>Champu de limpieza suave de la linea Bananeira Pos-Quimica, que prepara el cabello para el tratamiento: repone la masa capilar perdida en procesos quimicos y ayuda a reducir la quiebre.</t>
        </is>
      </c>
      <c r="X32" s="17" t="n"/>
      <c r="Y32" s="17" t="inlineStr">
        <is>
          <t>Limpieza suave sin resecar | Prepara el cabello para el resto de la rutina | Respeta el equilibrio del cuero cabelludo</t>
        </is>
      </c>
      <c r="Z32" s="17" t="n"/>
      <c r="AA32" s="17" t="inlineStr">
        <is>
          <t>Limpiador suave</t>
        </is>
      </c>
      <c r="AB32" s="17" t="n"/>
      <c r="AC32" s="17" t="inlineStr">
        <is>
          <t>Aplicar sobre el cabello mojado, masajear el cuero cabelludo con movimientos suaves y enjuagar bien.</t>
        </is>
      </c>
      <c r="AD32" s="17" t="inlineStr">
        <is>
          <t>Nutrientes de banana | Oleo de pequi</t>
        </is>
      </c>
      <c r="AE32" s="17" t="inlineStr">
        <is>
          <t>Nutrientes de platano (banana) | Aceite de pequi</t>
        </is>
      </c>
      <c r="AF32" s="17" t="n"/>
      <c r="AG32" s="17" t="n"/>
      <c r="AH32" s="20" t="inlineStr">
        <is>
          <t>shampoo-bananeira-pos-quimica-300ml.webp</t>
        </is>
      </c>
      <c r="AI32" s="17" t="n"/>
      <c r="AJ32" s="17" t="inlineStr">
        <is>
          <t>Cabello danado por alisados, tinturas o decoloracion</t>
        </is>
      </c>
      <c r="AK32" s="17" t="inlineStr">
        <is>
          <t>https://haskellcosmeticos.com.br/tratamentos-capilares/linha-bananeira-haskell/</t>
        </is>
      </c>
      <c r="AL32" s="17" t="inlineStr">
        <is>
          <t>2026-07-24</t>
        </is>
      </c>
      <c r="AM32" s="21">
        <f>IF(ISBLANK(Q32),"",Q32*Parametros_PEN!$B$2)</f>
        <v/>
      </c>
      <c r="AN32" s="21">
        <f>IF(ISBLANK(Q32),"",Q32*Parametros_PEN!$B$2*(1+Parametros_PEN!$B$3))</f>
        <v/>
      </c>
      <c r="AO32" s="21">
        <f>IF(ISBLANK(R32),"",R32*Parametros_PEN!$B$2)</f>
        <v/>
      </c>
      <c r="AP32" s="21">
        <f>IF(ISBLANK(R32),"",R32*Parametros_PEN!$B$2*(1+Parametros_PEN!$B$3))</f>
        <v/>
      </c>
    </row>
    <row r="33" ht="46.25" customHeight="1" s="15">
      <c r="A33" s="17" t="inlineStr">
        <is>
          <t>HSK-0032</t>
        </is>
      </c>
      <c r="B33" s="17" t="inlineStr">
        <is>
          <t>champu-bananeira-posquimica-500-ml</t>
        </is>
      </c>
      <c r="C33" s="17" t="n"/>
      <c r="D33" s="17" t="inlineStr">
        <is>
          <t>Haskell</t>
        </is>
      </c>
      <c r="E33" s="17" t="inlineStr">
        <is>
          <t>Shampoo Bananeira Pos Quimica 500ml</t>
        </is>
      </c>
      <c r="F33" s="17" t="inlineStr">
        <is>
          <t>Champu Bananeira Posquimica 500 ml</t>
        </is>
      </c>
      <c r="G33" s="17" t="inlineStr">
        <is>
          <t>Bananeira Pos-Quimica</t>
        </is>
      </c>
      <c r="H33" s="17" t="inlineStr">
        <is>
          <t>Tratamentos Capilares</t>
        </is>
      </c>
      <c r="I33" s="17" t="inlineStr">
        <is>
          <t>Tratamientos capilares</t>
        </is>
      </c>
      <c r="J33" s="17" t="inlineStr">
        <is>
          <t>Reposicao de massa pos-quimica</t>
        </is>
      </c>
      <c r="K33" s="17" t="inlineStr">
        <is>
          <t>Reposicion de masa capilar post-quimica</t>
        </is>
      </c>
      <c r="L33" s="17" t="inlineStr">
        <is>
          <t>Shampoo</t>
        </is>
      </c>
      <c r="M33" s="17" t="inlineStr">
        <is>
          <t>Champu</t>
        </is>
      </c>
      <c r="N33" s="17" t="inlineStr">
        <is>
          <t>500 ml</t>
        </is>
      </c>
      <c r="O33" s="17" t="n">
        <v>500</v>
      </c>
      <c r="P33" s="17" t="inlineStr">
        <is>
          <t>ml</t>
        </is>
      </c>
      <c r="Q33" s="18" t="n">
        <v>84.90000000000001</v>
      </c>
      <c r="R33" s="18" t="n"/>
      <c r="S33" s="19">
        <f>IF(ISBLANK(R33),0,IFERROR((Q33-R33)/Q33,0))</f>
        <v/>
      </c>
      <c r="T33" s="17">
        <f>R33&lt;&gt;""</f>
        <v/>
      </c>
      <c r="U33" s="17">
        <f>TRUE()</f>
        <v/>
      </c>
      <c r="V33" s="17" t="n"/>
      <c r="W33" s="17" t="inlineStr">
        <is>
          <t>Champu de limpieza suave de la linea Bananeira Pos-Quimica, que prepara el cabello para el tratamiento: repone la masa capilar perdida en procesos quimicos y ayuda a reducir la quiebre.</t>
        </is>
      </c>
      <c r="X33" s="17" t="n"/>
      <c r="Y33" s="17" t="inlineStr">
        <is>
          <t>Limpieza suave sin resecar | Prepara el cabello para el resto de la rutina | Respeta el equilibrio del cuero cabelludo</t>
        </is>
      </c>
      <c r="Z33" s="17" t="n"/>
      <c r="AA33" s="17" t="inlineStr">
        <is>
          <t>Limpiador suave</t>
        </is>
      </c>
      <c r="AB33" s="17" t="n"/>
      <c r="AC33" s="17" t="inlineStr">
        <is>
          <t>Aplicar sobre el cabello mojado, masajear el cuero cabelludo con movimientos suaves y enjuagar bien.</t>
        </is>
      </c>
      <c r="AD33" s="17" t="inlineStr">
        <is>
          <t>Nutrientes de banana | Oleo de pequi</t>
        </is>
      </c>
      <c r="AE33" s="17" t="inlineStr">
        <is>
          <t>Nutrientes de platano (banana) | Aceite de pequi</t>
        </is>
      </c>
      <c r="AF33" s="17" t="n"/>
      <c r="AG33" s="17" t="n"/>
      <c r="AH33" s="20" t="inlineStr">
        <is>
          <t>shampoo-bananeira-pos-quimica-500ml.webp</t>
        </is>
      </c>
      <c r="AI33" s="17" t="n"/>
      <c r="AJ33" s="17" t="inlineStr">
        <is>
          <t>Cabello danado por alisados, tinturas o decoloracion</t>
        </is>
      </c>
      <c r="AK33" s="17" t="inlineStr">
        <is>
          <t>https://haskellcosmeticos.com.br/tratamentos-capilares/linha-bananeira-haskell/</t>
        </is>
      </c>
      <c r="AL33" s="17" t="inlineStr">
        <is>
          <t>2026-07-24</t>
        </is>
      </c>
      <c r="AM33" s="21">
        <f>IF(ISBLANK(Q33),"",Q33*Parametros_PEN!$B$2)</f>
        <v/>
      </c>
      <c r="AN33" s="21">
        <f>IF(ISBLANK(Q33),"",Q33*Parametros_PEN!$B$2*(1+Parametros_PEN!$B$3))</f>
        <v/>
      </c>
      <c r="AO33" s="21">
        <f>IF(ISBLANK(R33),"",R33*Parametros_PEN!$B$2)</f>
        <v/>
      </c>
      <c r="AP33" s="21">
        <f>IF(ISBLANK(R33),"",R33*Parametros_PEN!$B$2*(1+Parametros_PEN!$B$3))</f>
        <v/>
      </c>
    </row>
    <row r="34" ht="46.25" customHeight="1" s="15">
      <c r="A34" s="17" t="inlineStr">
        <is>
          <t>HSK-0033</t>
        </is>
      </c>
      <c r="B34" s="17" t="inlineStr">
        <is>
          <t>acondicionador-bananeira-posquimica-300-ml</t>
        </is>
      </c>
      <c r="C34" s="17" t="n"/>
      <c r="D34" s="17" t="inlineStr">
        <is>
          <t>Haskell</t>
        </is>
      </c>
      <c r="E34" s="17" t="inlineStr">
        <is>
          <t>Condicionador Bananeira Pos-Quimica 300ml</t>
        </is>
      </c>
      <c r="F34" s="17" t="inlineStr">
        <is>
          <t>Acondicionador Bananeira Posquimica 300 ml</t>
        </is>
      </c>
      <c r="G34" s="17" t="inlineStr">
        <is>
          <t>Bananeira Pos-Quimica</t>
        </is>
      </c>
      <c r="H34" s="17" t="inlineStr">
        <is>
          <t>Tratamentos Capilares</t>
        </is>
      </c>
      <c r="I34" s="17" t="inlineStr">
        <is>
          <t>Tratamientos capilares</t>
        </is>
      </c>
      <c r="J34" s="17" t="inlineStr">
        <is>
          <t>Reposicao de massa pos-quimica</t>
        </is>
      </c>
      <c r="K34" s="17" t="inlineStr">
        <is>
          <t>Reposicion de masa capilar post-quimica</t>
        </is>
      </c>
      <c r="L34" s="17" t="inlineStr">
        <is>
          <t>Condicionador</t>
        </is>
      </c>
      <c r="M34" s="17" t="inlineStr">
        <is>
          <t>Acondicionador</t>
        </is>
      </c>
      <c r="N34" s="17" t="inlineStr">
        <is>
          <t>300 ml</t>
        </is>
      </c>
      <c r="O34" s="17" t="n">
        <v>300</v>
      </c>
      <c r="P34" s="17" t="inlineStr">
        <is>
          <t>ml</t>
        </is>
      </c>
      <c r="Q34" s="18" t="n">
        <v>62.9</v>
      </c>
      <c r="R34" s="18" t="n"/>
      <c r="S34" s="19">
        <f>IF(ISBLANK(R34),0,IFERROR((Q34-R34)/Q34,0))</f>
        <v/>
      </c>
      <c r="T34" s="17">
        <f>R34&lt;&gt;""</f>
        <v/>
      </c>
      <c r="U34" s="17">
        <f>TRUE()</f>
        <v/>
      </c>
      <c r="V34" s="17" t="n"/>
      <c r="W34" s="17" t="inlineStr">
        <is>
          <t>Acondicionador de la linea Bananeira Pos-Quimica que facilita el desenredado y sella la cuticula: repone la masa capilar perdida en procesos quimicos y ayuda a reducir la quiebre.</t>
        </is>
      </c>
      <c r="X34" s="17" t="n"/>
      <c r="Y34" s="17" t="inlineStr">
        <is>
          <t>Facilita el desenredado | Sella la cuticula | Aporta suavidad y brillo</t>
        </is>
      </c>
      <c r="Z34" s="17" t="n"/>
      <c r="AA34" s="17" t="inlineStr">
        <is>
          <t>Acondicionador</t>
        </is>
      </c>
      <c r="AB34" s="17" t="n"/>
      <c r="AC34" s="17" t="inlineStr">
        <is>
          <t>Aplicar en el largo y las puntas del cabello despues del champu, dejar actuar unos minutos y enjuagar.</t>
        </is>
      </c>
      <c r="AD34" s="17" t="inlineStr">
        <is>
          <t>Nutrientes de banana | Oleo de pequi</t>
        </is>
      </c>
      <c r="AE34" s="17" t="inlineStr">
        <is>
          <t>Nutrientes de platano (banana) | Aceite de pequi</t>
        </is>
      </c>
      <c r="AF34" s="17" t="n"/>
      <c r="AG34" s="17" t="n"/>
      <c r="AH34" s="20" t="inlineStr">
        <is>
          <t>condicionador-bananeira-pos-quimica-300ml.webp</t>
        </is>
      </c>
      <c r="AI34" s="17" t="n"/>
      <c r="AJ34" s="17" t="inlineStr">
        <is>
          <t>Cabello danado por alisados, tinturas o decoloracion</t>
        </is>
      </c>
      <c r="AK34" s="17" t="inlineStr">
        <is>
          <t>https://haskellcosmeticos.com.br/tratamentos-capilares/linha-bananeira-haskell/</t>
        </is>
      </c>
      <c r="AL34" s="17" t="inlineStr">
        <is>
          <t>2026-07-24</t>
        </is>
      </c>
      <c r="AM34" s="21">
        <f>IF(ISBLANK(Q34),"",Q34*Parametros_PEN!$B$2)</f>
        <v/>
      </c>
      <c r="AN34" s="21">
        <f>IF(ISBLANK(Q34),"",Q34*Parametros_PEN!$B$2*(1+Parametros_PEN!$B$3))</f>
        <v/>
      </c>
      <c r="AO34" s="21">
        <f>IF(ISBLANK(R34),"",R34*Parametros_PEN!$B$2)</f>
        <v/>
      </c>
      <c r="AP34" s="21">
        <f>IF(ISBLANK(R34),"",R34*Parametros_PEN!$B$2*(1+Parametros_PEN!$B$3))</f>
        <v/>
      </c>
    </row>
    <row r="35" ht="46.25" customHeight="1" s="15">
      <c r="A35" s="17" t="inlineStr">
        <is>
          <t>HSK-0034</t>
        </is>
      </c>
      <c r="B35" s="17" t="inlineStr">
        <is>
          <t>acondicionador-bananeira-posquimica-500-ml</t>
        </is>
      </c>
      <c r="C35" s="17" t="n"/>
      <c r="D35" s="17" t="inlineStr">
        <is>
          <t>Haskell</t>
        </is>
      </c>
      <c r="E35" s="17" t="inlineStr">
        <is>
          <t>Condicionador Bananeira Pos Quimica 500ml</t>
        </is>
      </c>
      <c r="F35" s="17" t="inlineStr">
        <is>
          <t>Acondicionador Bananeira Posquimica 500 ml</t>
        </is>
      </c>
      <c r="G35" s="17" t="inlineStr">
        <is>
          <t>Bananeira Pos-Quimica</t>
        </is>
      </c>
      <c r="H35" s="17" t="inlineStr">
        <is>
          <t>Tratamentos Capilares</t>
        </is>
      </c>
      <c r="I35" s="17" t="inlineStr">
        <is>
          <t>Tratamientos capilares</t>
        </is>
      </c>
      <c r="J35" s="17" t="inlineStr">
        <is>
          <t>Reposicao de massa pos-quimica</t>
        </is>
      </c>
      <c r="K35" s="17" t="inlineStr">
        <is>
          <t>Reposicion de masa capilar post-quimica</t>
        </is>
      </c>
      <c r="L35" s="17" t="inlineStr">
        <is>
          <t>Condicionador</t>
        </is>
      </c>
      <c r="M35" s="17" t="inlineStr">
        <is>
          <t>Acondicionador</t>
        </is>
      </c>
      <c r="N35" s="17" t="inlineStr">
        <is>
          <t>500 ml</t>
        </is>
      </c>
      <c r="O35" s="17" t="n">
        <v>500</v>
      </c>
      <c r="P35" s="17" t="inlineStr">
        <is>
          <t>ml</t>
        </is>
      </c>
      <c r="Q35" s="18" t="n">
        <v>84.90000000000001</v>
      </c>
      <c r="R35" s="18" t="n"/>
      <c r="S35" s="19">
        <f>IF(ISBLANK(R35),0,IFERROR((Q35-R35)/Q35,0))</f>
        <v/>
      </c>
      <c r="T35" s="17">
        <f>R35&lt;&gt;""</f>
        <v/>
      </c>
      <c r="U35" s="17">
        <f>TRUE()</f>
        <v/>
      </c>
      <c r="V35" s="17" t="n"/>
      <c r="W35" s="17" t="inlineStr">
        <is>
          <t>Acondicionador de la linea Bananeira Pos-Quimica que facilita el desenredado y sella la cuticula: repone la masa capilar perdida en procesos quimicos y ayuda a reducir la quiebre.</t>
        </is>
      </c>
      <c r="X35" s="17" t="n"/>
      <c r="Y35" s="17" t="inlineStr">
        <is>
          <t>Facilita el desenredado | Sella la cuticula | Aporta suavidad y brillo</t>
        </is>
      </c>
      <c r="Z35" s="17" t="n"/>
      <c r="AA35" s="17" t="inlineStr">
        <is>
          <t>Acondicionador</t>
        </is>
      </c>
      <c r="AB35" s="17" t="n"/>
      <c r="AC35" s="17" t="inlineStr">
        <is>
          <t>Aplicar en el largo y las puntas del cabello despues del champu, dejar actuar unos minutos y enjuagar.</t>
        </is>
      </c>
      <c r="AD35" s="17" t="inlineStr">
        <is>
          <t>Nutrientes de banana | Oleo de pequi</t>
        </is>
      </c>
      <c r="AE35" s="17" t="inlineStr">
        <is>
          <t>Nutrientes de platano (banana) | Aceite de pequi</t>
        </is>
      </c>
      <c r="AF35" s="17" t="n"/>
      <c r="AG35" s="17" t="n"/>
      <c r="AH35" s="20" t="inlineStr">
        <is>
          <t>condicionador-bananeira-pos-quimica-500ml.webp</t>
        </is>
      </c>
      <c r="AI35" s="17" t="n"/>
      <c r="AJ35" s="17" t="inlineStr">
        <is>
          <t>Cabello danado por alisados, tinturas o decoloracion</t>
        </is>
      </c>
      <c r="AK35" s="17" t="inlineStr">
        <is>
          <t>https://haskellcosmeticos.com.br/tratamentos-capilares/linha-bananeira-haskell/</t>
        </is>
      </c>
      <c r="AL35" s="17" t="inlineStr">
        <is>
          <t>2026-07-24</t>
        </is>
      </c>
      <c r="AM35" s="21">
        <f>IF(ISBLANK(Q35),"",Q35*Parametros_PEN!$B$2)</f>
        <v/>
      </c>
      <c r="AN35" s="21">
        <f>IF(ISBLANK(Q35),"",Q35*Parametros_PEN!$B$2*(1+Parametros_PEN!$B$3))</f>
        <v/>
      </c>
      <c r="AO35" s="21">
        <f>IF(ISBLANK(R35),"",R35*Parametros_PEN!$B$2)</f>
        <v/>
      </c>
      <c r="AP35" s="21">
        <f>IF(ISBLANK(R35),"",R35*Parametros_PEN!$B$2*(1+Parametros_PEN!$B$3))</f>
        <v/>
      </c>
    </row>
    <row r="36" ht="46.25" customHeight="1" s="15">
      <c r="A36" s="17" t="inlineStr">
        <is>
          <t>HSK-0035</t>
        </is>
      </c>
      <c r="B36" s="17" t="inlineStr">
        <is>
          <t>mascarilla-de-tratamiento-bananeira-posquimica-300-g</t>
        </is>
      </c>
      <c r="C36" s="17" t="n"/>
      <c r="D36" s="17" t="inlineStr">
        <is>
          <t>Haskell</t>
        </is>
      </c>
      <c r="E36" s="17" t="inlineStr">
        <is>
          <t>Mascara de Tratamento Bananeira Pos-Quimica 300g</t>
        </is>
      </c>
      <c r="F36" s="17" t="inlineStr">
        <is>
          <t>Mascarilla de tratamiento Bananeira Posquimica 300 g</t>
        </is>
      </c>
      <c r="G36" s="17" t="inlineStr">
        <is>
          <t>Bananeira Pos-Quimica</t>
        </is>
      </c>
      <c r="H36" s="17" t="inlineStr">
        <is>
          <t>Tratamentos Capilares</t>
        </is>
      </c>
      <c r="I36" s="17" t="inlineStr">
        <is>
          <t>Tratamientos capilares</t>
        </is>
      </c>
      <c r="J36" s="17" t="inlineStr">
        <is>
          <t>Reposicao de massa pos-quimica</t>
        </is>
      </c>
      <c r="K36" s="17" t="inlineStr">
        <is>
          <t>Reposicion de masa capilar post-quimica</t>
        </is>
      </c>
      <c r="L36" s="17" t="inlineStr">
        <is>
          <t>Mascara de Tratamento</t>
        </is>
      </c>
      <c r="M36" s="17" t="inlineStr">
        <is>
          <t>Mascarilla de tratamiento</t>
        </is>
      </c>
      <c r="N36" s="17" t="inlineStr">
        <is>
          <t>300 g</t>
        </is>
      </c>
      <c r="O36" s="17" t="n">
        <v>300</v>
      </c>
      <c r="P36" s="17" t="inlineStr">
        <is>
          <t>g</t>
        </is>
      </c>
      <c r="Q36" s="18" t="n">
        <v>74.90000000000001</v>
      </c>
      <c r="R36" s="18" t="n"/>
      <c r="S36" s="19">
        <f>IF(ISBLANK(R36),0,IFERROR((Q36-R36)/Q36,0))</f>
        <v/>
      </c>
      <c r="T36" s="17">
        <f>R36&lt;&gt;""</f>
        <v/>
      </c>
      <c r="U36" s="17">
        <f>TRUE()</f>
        <v/>
      </c>
      <c r="V36" s="17" t="n"/>
      <c r="W36" s="17" t="inlineStr">
        <is>
          <t>Mascarilla de tratamiento concentrada de la linea Bananeira Pos-Quimica, de uso posterior al champu: repone la masa capilar perdida en procesos quimicos y ayuda a reducir la quiebre.</t>
        </is>
      </c>
      <c r="X36" s="17" t="n"/>
      <c r="Y36" s="17" t="inlineStr">
        <is>
          <t>Tratamiento concentrado | Actua en profundidad sobre la fibra capilar | Refuerza el resultado de la linea</t>
        </is>
      </c>
      <c r="Z36" s="17" t="n"/>
      <c r="AA36" s="17" t="inlineStr">
        <is>
          <t>Tratamiento intensivo</t>
        </is>
      </c>
      <c r="AB36" s="17" t="n"/>
      <c r="AC36" s="17" t="inlineStr">
        <is>
          <t>Aplicar mechon por mechon despues del champu, dejar actuar de 3 a 5 minutos y enjuagar bien.</t>
        </is>
      </c>
      <c r="AD36" s="17" t="inlineStr">
        <is>
          <t>Nutrientes de banana | Oleo de pequi</t>
        </is>
      </c>
      <c r="AE36" s="17" t="inlineStr">
        <is>
          <t>Nutrientes de platano (banana) | Aceite de pequi</t>
        </is>
      </c>
      <c r="AF36" s="17" t="n"/>
      <c r="AG36" s="17" t="n"/>
      <c r="AH36" s="20" t="inlineStr">
        <is>
          <t>mascara-de-tratamento-bananeira-pos-quimica-300g.webp</t>
        </is>
      </c>
      <c r="AI36" s="17" t="n"/>
      <c r="AJ36" s="17" t="inlineStr">
        <is>
          <t>Cabello danado por alisados, tinturas o decoloracion</t>
        </is>
      </c>
      <c r="AK36" s="17" t="inlineStr">
        <is>
          <t>https://haskellcosmeticos.com.br/tratamentos-capilares/linha-bananeira-haskell/</t>
        </is>
      </c>
      <c r="AL36" s="17" t="inlineStr">
        <is>
          <t>2026-07-24</t>
        </is>
      </c>
      <c r="AM36" s="21">
        <f>IF(ISBLANK(Q36),"",Q36*Parametros_PEN!$B$2)</f>
        <v/>
      </c>
      <c r="AN36" s="21">
        <f>IF(ISBLANK(Q36),"",Q36*Parametros_PEN!$B$2*(1+Parametros_PEN!$B$3))</f>
        <v/>
      </c>
      <c r="AO36" s="21">
        <f>IF(ISBLANK(R36),"",R36*Parametros_PEN!$B$2)</f>
        <v/>
      </c>
      <c r="AP36" s="21">
        <f>IF(ISBLANK(R36),"",R36*Parametros_PEN!$B$2*(1+Parametros_PEN!$B$3))</f>
        <v/>
      </c>
    </row>
    <row r="37" ht="46.25" customHeight="1" s="15">
      <c r="A37" s="17" t="inlineStr">
        <is>
          <t>HSK-0036</t>
        </is>
      </c>
      <c r="B37" s="17" t="inlineStr">
        <is>
          <t>mascarilla-de-tratamiento-bananeira-posquimica-500-g</t>
        </is>
      </c>
      <c r="C37" s="17" t="n"/>
      <c r="D37" s="17" t="inlineStr">
        <is>
          <t>Haskell</t>
        </is>
      </c>
      <c r="E37" s="17" t="inlineStr">
        <is>
          <t>Mascara de Tratamento Bananeira Pos-Quimica 500g</t>
        </is>
      </c>
      <c r="F37" s="17" t="inlineStr">
        <is>
          <t>Mascarilla de tratamiento Bananeira Posquimica 500 g</t>
        </is>
      </c>
      <c r="G37" s="17" t="inlineStr">
        <is>
          <t>Bananeira Pos-Quimica</t>
        </is>
      </c>
      <c r="H37" s="17" t="inlineStr">
        <is>
          <t>Tratamentos Capilares</t>
        </is>
      </c>
      <c r="I37" s="17" t="inlineStr">
        <is>
          <t>Tratamientos capilares</t>
        </is>
      </c>
      <c r="J37" s="17" t="inlineStr">
        <is>
          <t>Reposicao de massa pos-quimica</t>
        </is>
      </c>
      <c r="K37" s="17" t="inlineStr">
        <is>
          <t>Reposicion de masa capilar post-quimica</t>
        </is>
      </c>
      <c r="L37" s="17" t="inlineStr">
        <is>
          <t>Mascara de Tratamento</t>
        </is>
      </c>
      <c r="M37" s="17" t="inlineStr">
        <is>
          <t>Mascarilla de tratamiento</t>
        </is>
      </c>
      <c r="N37" s="17" t="inlineStr">
        <is>
          <t>500 g</t>
        </is>
      </c>
      <c r="O37" s="17" t="n">
        <v>500</v>
      </c>
      <c r="P37" s="17" t="inlineStr">
        <is>
          <t>g</t>
        </is>
      </c>
      <c r="Q37" s="18" t="n">
        <v>89.90000000000001</v>
      </c>
      <c r="R37" s="18" t="n"/>
      <c r="S37" s="19">
        <f>IF(ISBLANK(R37),0,IFERROR((Q37-R37)/Q37,0))</f>
        <v/>
      </c>
      <c r="T37" s="17">
        <f>R37&lt;&gt;""</f>
        <v/>
      </c>
      <c r="U37" s="17">
        <f>TRUE()</f>
        <v/>
      </c>
      <c r="V37" s="17" t="n"/>
      <c r="W37" s="17" t="inlineStr">
        <is>
          <t>Mascarilla de tratamiento concentrada de la linea Bananeira Pos-Quimica, de uso posterior al champu: repone la masa capilar perdida en procesos quimicos y ayuda a reducir la quiebre.</t>
        </is>
      </c>
      <c r="X37" s="17" t="n"/>
      <c r="Y37" s="17" t="inlineStr">
        <is>
          <t>Tratamiento concentrado | Actua en profundidad sobre la fibra capilar | Refuerza el resultado de la linea</t>
        </is>
      </c>
      <c r="Z37" s="17" t="n"/>
      <c r="AA37" s="17" t="inlineStr">
        <is>
          <t>Tratamiento intensivo</t>
        </is>
      </c>
      <c r="AB37" s="17" t="n"/>
      <c r="AC37" s="17" t="inlineStr">
        <is>
          <t>Aplicar mechon por mechon despues del champu, dejar actuar de 3 a 5 minutos y enjuagar bien.</t>
        </is>
      </c>
      <c r="AD37" s="17" t="inlineStr">
        <is>
          <t>Nutrientes de banana | Oleo de pequi</t>
        </is>
      </c>
      <c r="AE37" s="17" t="inlineStr">
        <is>
          <t>Nutrientes de platano (banana) | Aceite de pequi</t>
        </is>
      </c>
      <c r="AF37" s="17" t="n"/>
      <c r="AG37" s="17" t="n"/>
      <c r="AH37" s="20" t="inlineStr">
        <is>
          <t>mascara-de-tratamento-bananeira-pos-quimica-500g.webp</t>
        </is>
      </c>
      <c r="AI37" s="17" t="n"/>
      <c r="AJ37" s="17" t="inlineStr">
        <is>
          <t>Cabello danado por alisados, tinturas o decoloracion</t>
        </is>
      </c>
      <c r="AK37" s="17" t="inlineStr">
        <is>
          <t>https://haskellcosmeticos.com.br/tratamentos-capilares/linha-bananeira-haskell/</t>
        </is>
      </c>
      <c r="AL37" s="17" t="inlineStr">
        <is>
          <t>2026-07-24</t>
        </is>
      </c>
      <c r="AM37" s="21">
        <f>IF(ISBLANK(Q37),"",Q37*Parametros_PEN!$B$2)</f>
        <v/>
      </c>
      <c r="AN37" s="21">
        <f>IF(ISBLANK(Q37),"",Q37*Parametros_PEN!$B$2*(1+Parametros_PEN!$B$3))</f>
        <v/>
      </c>
      <c r="AO37" s="21">
        <f>IF(ISBLANK(R37),"",R37*Parametros_PEN!$B$2)</f>
        <v/>
      </c>
      <c r="AP37" s="21">
        <f>IF(ISBLANK(R37),"",R37*Parametros_PEN!$B$2*(1+Parametros_PEN!$B$3))</f>
        <v/>
      </c>
    </row>
    <row r="38" ht="35.05" customHeight="1" s="15">
      <c r="A38" s="17" t="inlineStr">
        <is>
          <t>HSK-0037</t>
        </is>
      </c>
      <c r="B38" s="17" t="inlineStr">
        <is>
          <t>fluido-obligatorio-bananeira-posquimica-120-ml</t>
        </is>
      </c>
      <c r="C38" s="17" t="n"/>
      <c r="D38" s="17" t="inlineStr">
        <is>
          <t>Haskell</t>
        </is>
      </c>
      <c r="E38" s="17" t="inlineStr">
        <is>
          <t>Fluido Obrigatorio Bananeira Pos-Quimica 120ml</t>
        </is>
      </c>
      <c r="F38" s="17" t="inlineStr">
        <is>
          <t>Fluido obligatorio Bananeira Posquimica 120 ml</t>
        </is>
      </c>
      <c r="G38" s="17" t="inlineStr">
        <is>
          <t>Bananeira Pos-Quimica</t>
        </is>
      </c>
      <c r="H38" s="17" t="inlineStr">
        <is>
          <t>Tratamentos Capilares</t>
        </is>
      </c>
      <c r="I38" s="17" t="inlineStr">
        <is>
          <t>Tratamientos capilares</t>
        </is>
      </c>
      <c r="J38" s="17" t="inlineStr">
        <is>
          <t>Reposicao de massa pos-quimica</t>
        </is>
      </c>
      <c r="K38" s="17" t="inlineStr">
        <is>
          <t>Reposicion de masa capilar post-quimica</t>
        </is>
      </c>
      <c r="L38" s="17" t="inlineStr">
        <is>
          <t>Fluido</t>
        </is>
      </c>
      <c r="M38" s="17" t="inlineStr">
        <is>
          <t>Fluido finalizador</t>
        </is>
      </c>
      <c r="N38" s="17" t="inlineStr">
        <is>
          <t>120 ml</t>
        </is>
      </c>
      <c r="O38" s="17" t="n">
        <v>120</v>
      </c>
      <c r="P38" s="17" t="inlineStr">
        <is>
          <t>ml</t>
        </is>
      </c>
      <c r="Q38" s="18" t="n">
        <v>48.9</v>
      </c>
      <c r="R38" s="18" t="n"/>
      <c r="S38" s="19">
        <f>IF(ISBLANK(R38),0,IFERROR((Q38-R38)/Q38,0))</f>
        <v/>
      </c>
      <c r="T38" s="17">
        <f>R38&lt;&gt;""</f>
        <v/>
      </c>
      <c r="U38" s="17">
        <f>TRUE()</f>
        <v/>
      </c>
      <c r="V38" s="17" t="n"/>
      <c r="W38" s="17" t="inlineStr">
        <is>
          <t>Fluido finalizador sin enjuague de la linea Bananeira Pos-Quimica: repone la masa capilar perdida en procesos quimicos y ayuda a reducir la quiebre.</t>
        </is>
      </c>
      <c r="X38" s="17" t="n"/>
      <c r="Y38" s="17" t="inlineStr">
        <is>
          <t>Finalizador sin enjuague | Facilita el peinado | Protege del calor y de agresiones externas</t>
        </is>
      </c>
      <c r="Z38" s="17" t="n"/>
      <c r="AA38" s="17" t="inlineStr">
        <is>
          <t>Finalizador</t>
        </is>
      </c>
      <c r="AB38" s="17" t="n"/>
      <c r="AC38" s="17" t="inlineStr">
        <is>
          <t>Aplicar sobre el cabello limpio y humedo, distribuir en todo el largo y finalizar como se prefiera.</t>
        </is>
      </c>
      <c r="AD38" s="17" t="inlineStr">
        <is>
          <t>Nutrientes de banana | Oleo de pequi</t>
        </is>
      </c>
      <c r="AE38" s="17" t="inlineStr">
        <is>
          <t>Nutrientes de platano (banana) | Aceite de pequi</t>
        </is>
      </c>
      <c r="AF38" s="17" t="n"/>
      <c r="AG38" s="17" t="n"/>
      <c r="AH38" s="20" t="inlineStr">
        <is>
          <t>fluido-obrigatorio-bananeira-pos-quimica-120ml.webp</t>
        </is>
      </c>
      <c r="AI38" s="17" t="n"/>
      <c r="AJ38" s="17" t="inlineStr">
        <is>
          <t>Cabello danado por alisados, tinturas o decoloracion</t>
        </is>
      </c>
      <c r="AK38" s="17" t="inlineStr">
        <is>
          <t>https://haskellcosmeticos.com.br/tratamentos-capilares/linha-bananeira-haskell/</t>
        </is>
      </c>
      <c r="AL38" s="17" t="inlineStr">
        <is>
          <t>2026-07-24</t>
        </is>
      </c>
      <c r="AM38" s="21">
        <f>IF(ISBLANK(Q38),"",Q38*Parametros_PEN!$B$2)</f>
        <v/>
      </c>
      <c r="AN38" s="21">
        <f>IF(ISBLANK(Q38),"",Q38*Parametros_PEN!$B$2*(1+Parametros_PEN!$B$3))</f>
        <v/>
      </c>
      <c r="AO38" s="21">
        <f>IF(ISBLANK(R38),"",R38*Parametros_PEN!$B$2)</f>
        <v/>
      </c>
      <c r="AP38" s="21">
        <f>IF(ISBLANK(R38),"",R38*Parametros_PEN!$B$2*(1+Parametros_PEN!$B$3))</f>
        <v/>
      </c>
    </row>
    <row r="39" ht="46.25" customHeight="1" s="15">
      <c r="A39" s="17" t="inlineStr">
        <is>
          <t>HSK-0038</t>
        </is>
      </c>
      <c r="B39" s="17" t="inlineStr">
        <is>
          <t>nectavita-bananeira-posquimica-35-ml</t>
        </is>
      </c>
      <c r="C39" s="17" t="n"/>
      <c r="D39" s="17" t="inlineStr">
        <is>
          <t>Haskell</t>
        </is>
      </c>
      <c r="E39" s="17" t="inlineStr">
        <is>
          <t>Nectavita Bananeira Pos-Quimica 35ml</t>
        </is>
      </c>
      <c r="F39" s="17" t="inlineStr">
        <is>
          <t>Nectavita Bananeira Posquimica 35 ml</t>
        </is>
      </c>
      <c r="G39" s="17" t="inlineStr">
        <is>
          <t>Bananeira Pos-Quimica</t>
        </is>
      </c>
      <c r="H39" s="17" t="inlineStr">
        <is>
          <t>Tratamentos Capilares</t>
        </is>
      </c>
      <c r="I39" s="17" t="inlineStr">
        <is>
          <t>Tratamientos capilares</t>
        </is>
      </c>
      <c r="J39" s="17" t="inlineStr">
        <is>
          <t>Reposicao de massa pos-quimica</t>
        </is>
      </c>
      <c r="K39" s="17" t="inlineStr">
        <is>
          <t>Reposicion de masa capilar post-quimica</t>
        </is>
      </c>
      <c r="L39" s="17" t="inlineStr">
        <is>
          <t>Nectavita</t>
        </is>
      </c>
      <c r="M39" s="17" t="inlineStr">
        <is>
          <t>Potenciador pre-champu</t>
        </is>
      </c>
      <c r="N39" s="17" t="inlineStr">
        <is>
          <t>35 ml</t>
        </is>
      </c>
      <c r="O39" s="17" t="n">
        <v>35</v>
      </c>
      <c r="P39" s="17" t="inlineStr">
        <is>
          <t>ml</t>
        </is>
      </c>
      <c r="Q39" s="18" t="n">
        <v>25.9</v>
      </c>
      <c r="R39" s="18" t="n"/>
      <c r="S39" s="19">
        <f>IF(ISBLANK(R39),0,IFERROR((Q39-R39)/Q39,0))</f>
        <v/>
      </c>
      <c r="T39" s="17">
        <f>R39&lt;&gt;""</f>
        <v/>
      </c>
      <c r="U39" s="17">
        <f>TRUE()</f>
        <v/>
      </c>
      <c r="V39" s="17" t="n"/>
      <c r="W39" s="17" t="inlineStr">
        <is>
          <t>Potenciador pre-champu (nectavita) de la linea Bananeira Pos-Quimica, para usar antes del lavado: repone la masa capilar perdida en procesos quimicos y ayuda a reducir la quiebre.</t>
        </is>
      </c>
      <c r="X39" s="17" t="n"/>
      <c r="Y39" s="17" t="inlineStr">
        <is>
          <t>Prepara el cuero cabelludo antes del champu | Potencia el efecto del tratamiento</t>
        </is>
      </c>
      <c r="Z39" s="17" t="n"/>
      <c r="AA39" s="17" t="inlineStr">
        <is>
          <t>Pre-champu</t>
        </is>
      </c>
      <c r="AB39" s="17" t="n"/>
      <c r="AC39" s="17" t="inlineStr">
        <is>
          <t>Aplicar sobre el cuero cabelludo antes del champu, masajear y proceder con el lavado habitual.</t>
        </is>
      </c>
      <c r="AD39" s="17" t="inlineStr">
        <is>
          <t>Nutrientes de banana | Oleo de pequi</t>
        </is>
      </c>
      <c r="AE39" s="17" t="inlineStr">
        <is>
          <t>Nutrientes de platano (banana) | Aceite de pequi</t>
        </is>
      </c>
      <c r="AF39" s="17" t="n"/>
      <c r="AG39" s="17" t="n"/>
      <c r="AH39" s="20" t="inlineStr">
        <is>
          <t>nectavita-bananeira-pos-quimica-35ml.webp</t>
        </is>
      </c>
      <c r="AI39" s="17" t="n"/>
      <c r="AJ39" s="17" t="inlineStr">
        <is>
          <t>Cabello danado por alisados, tinturas o decoloracion</t>
        </is>
      </c>
      <c r="AK39" s="17" t="inlineStr">
        <is>
          <t>https://haskellcosmeticos.com.br/tratamentos-capilares/linha-bananeira-haskell/</t>
        </is>
      </c>
      <c r="AL39" s="17" t="inlineStr">
        <is>
          <t>2026-07-24</t>
        </is>
      </c>
      <c r="AM39" s="21">
        <f>IF(ISBLANK(Q39),"",Q39*Parametros_PEN!$B$2)</f>
        <v/>
      </c>
      <c r="AN39" s="21">
        <f>IF(ISBLANK(Q39),"",Q39*Parametros_PEN!$B$2*(1+Parametros_PEN!$B$3))</f>
        <v/>
      </c>
      <c r="AO39" s="21">
        <f>IF(ISBLANK(R39),"",R39*Parametros_PEN!$B$2)</f>
        <v/>
      </c>
      <c r="AP39" s="21">
        <f>IF(ISBLANK(R39),"",R39*Parametros_PEN!$B$2*(1+Parametros_PEN!$B$3))</f>
        <v/>
      </c>
    </row>
    <row r="40" ht="46.25" customHeight="1" s="15">
      <c r="A40" s="17" t="inlineStr">
        <is>
          <t>HSK-0039</t>
        </is>
      </c>
      <c r="B40" s="17" t="inlineStr">
        <is>
          <t>champu-cavalo-forte-hidra-300-ml</t>
        </is>
      </c>
      <c r="C40" s="17" t="n"/>
      <c r="D40" s="17" t="inlineStr">
        <is>
          <t>Haskell</t>
        </is>
      </c>
      <c r="E40" s="17" t="inlineStr">
        <is>
          <t>Shampoo Cavalo Forte Hidra 300ml</t>
        </is>
      </c>
      <c r="F40" s="17" t="inlineStr">
        <is>
          <t>Champu Cavalo Forte Hidra 300 ml</t>
        </is>
      </c>
      <c r="G40" s="17" t="inlineStr">
        <is>
          <t>Cavalo Forte Hidra</t>
        </is>
      </c>
      <c r="H40" s="17" t="inlineStr">
        <is>
          <t>Tratamentos Capilares</t>
        </is>
      </c>
      <c r="I40" s="17" t="inlineStr">
        <is>
          <t>Tratamientos capilares</t>
        </is>
      </c>
      <c r="J40" s="17" t="inlineStr">
        <is>
          <t>Hidratacao profunda</t>
        </is>
      </c>
      <c r="K40" s="17" t="inlineStr">
        <is>
          <t>Hidratacion profunda</t>
        </is>
      </c>
      <c r="L40" s="17" t="inlineStr">
        <is>
          <t>Shampoo</t>
        </is>
      </c>
      <c r="M40" s="17" t="inlineStr">
        <is>
          <t>Champu</t>
        </is>
      </c>
      <c r="N40" s="17" t="inlineStr">
        <is>
          <t>300 ml</t>
        </is>
      </c>
      <c r="O40" s="17" t="n">
        <v>300</v>
      </c>
      <c r="P40" s="17" t="inlineStr">
        <is>
          <t>ml</t>
        </is>
      </c>
      <c r="Q40" s="18" t="n">
        <v>62.9</v>
      </c>
      <c r="R40" s="18" t="n"/>
      <c r="S40" s="19">
        <f>IF(ISBLANK(R40),0,IFERROR((Q40-R40)/Q40,0))</f>
        <v/>
      </c>
      <c r="T40" s="17">
        <f>R40&lt;&gt;""</f>
        <v/>
      </c>
      <c r="U40" s="17">
        <f>TRUE()</f>
        <v/>
      </c>
      <c r="V40" s="17" t="n"/>
      <c r="W40" s="17" t="inlineStr">
        <is>
          <t>Champu de limpieza suave de la linea Cavalo Forte Hidra, que prepara el cabello para el tratamiento: aporta hidratacion profunda y protege el cabello frente a agresiones externas.</t>
        </is>
      </c>
      <c r="X40" s="17" t="n"/>
      <c r="Y40" s="17" t="inlineStr">
        <is>
          <t>Limpieza suave sin resecar | Prepara el cabello para el resto de la rutina | Respeta el equilibrio del cuero cabelludo</t>
        </is>
      </c>
      <c r="Z40" s="17" t="n"/>
      <c r="AA40" s="17" t="inlineStr">
        <is>
          <t>Limpiador suave</t>
        </is>
      </c>
      <c r="AB40" s="17" t="n"/>
      <c r="AC40" s="17" t="inlineStr">
        <is>
          <t>Aplicar sobre el cabello mojado, masajear el cuero cabelludo con movimientos suaves y enjuagar bien.</t>
        </is>
      </c>
      <c r="AD40" s="17" t="inlineStr">
        <is>
          <t>Acido hialuronico | Oleo de rosa mosqueta | Vitamina B3</t>
        </is>
      </c>
      <c r="AE40" s="17" t="inlineStr">
        <is>
          <t>Acido hialuronico | Aceite de rosa mosqueta | Vitamina B3</t>
        </is>
      </c>
      <c r="AF40" s="17" t="n"/>
      <c r="AG40" s="17" t="n"/>
      <c r="AH40" s="20" t="inlineStr">
        <is>
          <t>shampoo-cavalo-forte-hidra-300ml.webp</t>
        </is>
      </c>
      <c r="AI40" s="17" t="n"/>
      <c r="AJ40" s="17" t="inlineStr">
        <is>
          <t>Todo tipo de cabello, especialmente cabello reseco</t>
        </is>
      </c>
      <c r="AK40" s="17" t="inlineStr">
        <is>
          <t>https://haskellcosmeticos.com.br/tratamentos-capilares/cavalo-forte-hidra/</t>
        </is>
      </c>
      <c r="AL40" s="17" t="inlineStr">
        <is>
          <t>2026-07-24</t>
        </is>
      </c>
      <c r="AM40" s="21">
        <f>IF(ISBLANK(Q40),"",Q40*Parametros_PEN!$B$2)</f>
        <v/>
      </c>
      <c r="AN40" s="21">
        <f>IF(ISBLANK(Q40),"",Q40*Parametros_PEN!$B$2*(1+Parametros_PEN!$B$3))</f>
        <v/>
      </c>
      <c r="AO40" s="21">
        <f>IF(ISBLANK(R40),"",R40*Parametros_PEN!$B$2)</f>
        <v/>
      </c>
      <c r="AP40" s="21">
        <f>IF(ISBLANK(R40),"",R40*Parametros_PEN!$B$2*(1+Parametros_PEN!$B$3))</f>
        <v/>
      </c>
    </row>
    <row r="41" ht="46.25" customHeight="1" s="15">
      <c r="A41" s="17" t="inlineStr">
        <is>
          <t>HSK-0040</t>
        </is>
      </c>
      <c r="B41" s="17" t="inlineStr">
        <is>
          <t>champu-cavalo-forte-hidra-500-ml</t>
        </is>
      </c>
      <c r="C41" s="17" t="n"/>
      <c r="D41" s="17" t="inlineStr">
        <is>
          <t>Haskell</t>
        </is>
      </c>
      <c r="E41" s="17" t="inlineStr">
        <is>
          <t>Shampoo Cavalo Forte Hidra 500ml</t>
        </is>
      </c>
      <c r="F41" s="17" t="inlineStr">
        <is>
          <t>Champu Cavalo Forte Hidra 500 ml</t>
        </is>
      </c>
      <c r="G41" s="17" t="inlineStr">
        <is>
          <t>Cavalo Forte Hidra</t>
        </is>
      </c>
      <c r="H41" s="17" t="inlineStr">
        <is>
          <t>Tratamentos Capilares</t>
        </is>
      </c>
      <c r="I41" s="17" t="inlineStr">
        <is>
          <t>Tratamientos capilares</t>
        </is>
      </c>
      <c r="J41" s="17" t="inlineStr">
        <is>
          <t>Hidratacao profunda</t>
        </is>
      </c>
      <c r="K41" s="17" t="inlineStr">
        <is>
          <t>Hidratacion profunda</t>
        </is>
      </c>
      <c r="L41" s="17" t="inlineStr">
        <is>
          <t>Shampoo</t>
        </is>
      </c>
      <c r="M41" s="17" t="inlineStr">
        <is>
          <t>Champu</t>
        </is>
      </c>
      <c r="N41" s="17" t="inlineStr">
        <is>
          <t>500 ml</t>
        </is>
      </c>
      <c r="O41" s="17" t="n">
        <v>500</v>
      </c>
      <c r="P41" s="17" t="inlineStr">
        <is>
          <t>ml</t>
        </is>
      </c>
      <c r="Q41" s="18" t="n">
        <v>84.90000000000001</v>
      </c>
      <c r="R41" s="18" t="n"/>
      <c r="S41" s="19">
        <f>IF(ISBLANK(R41),0,IFERROR((Q41-R41)/Q41,0))</f>
        <v/>
      </c>
      <c r="T41" s="17">
        <f>R41&lt;&gt;""</f>
        <v/>
      </c>
      <c r="U41" s="17">
        <f>TRUE()</f>
        <v/>
      </c>
      <c r="V41" s="17" t="n"/>
      <c r="W41" s="17" t="inlineStr">
        <is>
          <t>Champu de limpieza suave de la linea Cavalo Forte Hidra, que prepara el cabello para el tratamiento: aporta hidratacion profunda y protege el cabello frente a agresiones externas.</t>
        </is>
      </c>
      <c r="X41" s="17" t="n"/>
      <c r="Y41" s="17" t="inlineStr">
        <is>
          <t>Limpieza suave sin resecar | Prepara el cabello para el resto de la rutina | Respeta el equilibrio del cuero cabelludo</t>
        </is>
      </c>
      <c r="Z41" s="17" t="n"/>
      <c r="AA41" s="17" t="inlineStr">
        <is>
          <t>Limpiador suave</t>
        </is>
      </c>
      <c r="AB41" s="17" t="n"/>
      <c r="AC41" s="17" t="inlineStr">
        <is>
          <t>Aplicar sobre el cabello mojado, masajear el cuero cabelludo con movimientos suaves y enjuagar bien.</t>
        </is>
      </c>
      <c r="AD41" s="17" t="inlineStr">
        <is>
          <t>Acido hialuronico | Oleo de rosa mosqueta | Vitamina B3</t>
        </is>
      </c>
      <c r="AE41" s="17" t="inlineStr">
        <is>
          <t>Acido hialuronico | Aceite de rosa mosqueta | Vitamina B3</t>
        </is>
      </c>
      <c r="AF41" s="17" t="n"/>
      <c r="AG41" s="17" t="n"/>
      <c r="AH41" s="20" t="inlineStr">
        <is>
          <t>shampoo-cavalo-forte-hidra-500ml.webp</t>
        </is>
      </c>
      <c r="AI41" s="17" t="n"/>
      <c r="AJ41" s="17" t="inlineStr">
        <is>
          <t>Todo tipo de cabello, especialmente cabello reseco</t>
        </is>
      </c>
      <c r="AK41" s="17" t="inlineStr">
        <is>
          <t>https://haskellcosmeticos.com.br/tratamentos-capilares/cavalo-forte-hidra/</t>
        </is>
      </c>
      <c r="AL41" s="17" t="inlineStr">
        <is>
          <t>2026-07-24</t>
        </is>
      </c>
      <c r="AM41" s="21">
        <f>IF(ISBLANK(Q41),"",Q41*Parametros_PEN!$B$2)</f>
        <v/>
      </c>
      <c r="AN41" s="21">
        <f>IF(ISBLANK(Q41),"",Q41*Parametros_PEN!$B$2*(1+Parametros_PEN!$B$3))</f>
        <v/>
      </c>
      <c r="AO41" s="21">
        <f>IF(ISBLANK(R41),"",R41*Parametros_PEN!$B$2)</f>
        <v/>
      </c>
      <c r="AP41" s="21">
        <f>IF(ISBLANK(R41),"",R41*Parametros_PEN!$B$2*(1+Parametros_PEN!$B$3))</f>
        <v/>
      </c>
    </row>
    <row r="42" ht="46.25" customHeight="1" s="15">
      <c r="A42" s="17" t="inlineStr">
        <is>
          <t>HSK-0041</t>
        </is>
      </c>
      <c r="B42" s="17" t="inlineStr">
        <is>
          <t>acondicionador-cavalo-forte-hidra-300-ml</t>
        </is>
      </c>
      <c r="C42" s="17" t="n"/>
      <c r="D42" s="17" t="inlineStr">
        <is>
          <t>Haskell</t>
        </is>
      </c>
      <c r="E42" s="17" t="inlineStr">
        <is>
          <t>Condicionador Cavalo Forte Hidra 300ml</t>
        </is>
      </c>
      <c r="F42" s="17" t="inlineStr">
        <is>
          <t>Acondicionador Cavalo Forte Hidra 300 ml</t>
        </is>
      </c>
      <c r="G42" s="17" t="inlineStr">
        <is>
          <t>Cavalo Forte Hidra</t>
        </is>
      </c>
      <c r="H42" s="17" t="inlineStr">
        <is>
          <t>Tratamentos Capilares</t>
        </is>
      </c>
      <c r="I42" s="17" t="inlineStr">
        <is>
          <t>Tratamientos capilares</t>
        </is>
      </c>
      <c r="J42" s="17" t="inlineStr">
        <is>
          <t>Hidratacao profunda</t>
        </is>
      </c>
      <c r="K42" s="17" t="inlineStr">
        <is>
          <t>Hidratacion profunda</t>
        </is>
      </c>
      <c r="L42" s="17" t="inlineStr">
        <is>
          <t>Condicionador</t>
        </is>
      </c>
      <c r="M42" s="17" t="inlineStr">
        <is>
          <t>Acondicionador</t>
        </is>
      </c>
      <c r="N42" s="17" t="inlineStr">
        <is>
          <t>300 ml</t>
        </is>
      </c>
      <c r="O42" s="17" t="n">
        <v>300</v>
      </c>
      <c r="P42" s="17" t="inlineStr">
        <is>
          <t>ml</t>
        </is>
      </c>
      <c r="Q42" s="18" t="n">
        <v>62.9</v>
      </c>
      <c r="R42" s="18" t="n"/>
      <c r="S42" s="19">
        <f>IF(ISBLANK(R42),0,IFERROR((Q42-R42)/Q42,0))</f>
        <v/>
      </c>
      <c r="T42" s="17">
        <f>R42&lt;&gt;""</f>
        <v/>
      </c>
      <c r="U42" s="17">
        <f>TRUE()</f>
        <v/>
      </c>
      <c r="V42" s="17" t="n"/>
      <c r="W42" s="17" t="inlineStr">
        <is>
          <t>Acondicionador de la linea Cavalo Forte Hidra que facilita el desenredado y sella la cuticula: aporta hidratacion profunda y protege el cabello frente a agresiones externas.</t>
        </is>
      </c>
      <c r="X42" s="17" t="n"/>
      <c r="Y42" s="17" t="inlineStr">
        <is>
          <t>Facilita el desenredado | Sella la cuticula | Aporta suavidad y brillo</t>
        </is>
      </c>
      <c r="Z42" s="17" t="n"/>
      <c r="AA42" s="17" t="inlineStr">
        <is>
          <t>Acondicionador</t>
        </is>
      </c>
      <c r="AB42" s="17" t="n"/>
      <c r="AC42" s="17" t="inlineStr">
        <is>
          <t>Aplicar en el largo y las puntas del cabello despues del champu, dejar actuar unos minutos y enjuagar.</t>
        </is>
      </c>
      <c r="AD42" s="17" t="inlineStr">
        <is>
          <t>Acido hialuronico | Oleo de rosa mosqueta | Vitamina B3</t>
        </is>
      </c>
      <c r="AE42" s="17" t="inlineStr">
        <is>
          <t>Acido hialuronico | Aceite de rosa mosqueta | Vitamina B3</t>
        </is>
      </c>
      <c r="AF42" s="17" t="n"/>
      <c r="AG42" s="17" t="n"/>
      <c r="AH42" s="20" t="inlineStr">
        <is>
          <t>condicionador-cavalo-forte-hidra-300ml.webp</t>
        </is>
      </c>
      <c r="AI42" s="17" t="n"/>
      <c r="AJ42" s="17" t="inlineStr">
        <is>
          <t>Todo tipo de cabello, especialmente cabello reseco</t>
        </is>
      </c>
      <c r="AK42" s="17" t="inlineStr">
        <is>
          <t>https://haskellcosmeticos.com.br/tratamentos-capilares/cavalo-forte-hidra/</t>
        </is>
      </c>
      <c r="AL42" s="17" t="inlineStr">
        <is>
          <t>2026-07-24</t>
        </is>
      </c>
      <c r="AM42" s="21">
        <f>IF(ISBLANK(Q42),"",Q42*Parametros_PEN!$B$2)</f>
        <v/>
      </c>
      <c r="AN42" s="21">
        <f>IF(ISBLANK(Q42),"",Q42*Parametros_PEN!$B$2*(1+Parametros_PEN!$B$3))</f>
        <v/>
      </c>
      <c r="AO42" s="21">
        <f>IF(ISBLANK(R42),"",R42*Parametros_PEN!$B$2)</f>
        <v/>
      </c>
      <c r="AP42" s="21">
        <f>IF(ISBLANK(R42),"",R42*Parametros_PEN!$B$2*(1+Parametros_PEN!$B$3))</f>
        <v/>
      </c>
    </row>
    <row r="43" ht="46.25" customHeight="1" s="15">
      <c r="A43" s="17" t="inlineStr">
        <is>
          <t>HSK-0042</t>
        </is>
      </c>
      <c r="B43" s="17" t="inlineStr">
        <is>
          <t>acondicionador-cavalo-forte-hidra-500-ml</t>
        </is>
      </c>
      <c r="C43" s="17" t="n"/>
      <c r="D43" s="17" t="inlineStr">
        <is>
          <t>Haskell</t>
        </is>
      </c>
      <c r="E43" s="17" t="inlineStr">
        <is>
          <t>Condicionador Cavalo Forte Hidra 500ml</t>
        </is>
      </c>
      <c r="F43" s="17" t="inlineStr">
        <is>
          <t>Acondicionador Cavalo Forte Hidra 500 ml</t>
        </is>
      </c>
      <c r="G43" s="17" t="inlineStr">
        <is>
          <t>Cavalo Forte Hidra</t>
        </is>
      </c>
      <c r="H43" s="17" t="inlineStr">
        <is>
          <t>Tratamentos Capilares</t>
        </is>
      </c>
      <c r="I43" s="17" t="inlineStr">
        <is>
          <t>Tratamientos capilares</t>
        </is>
      </c>
      <c r="J43" s="17" t="inlineStr">
        <is>
          <t>Hidratacao profunda</t>
        </is>
      </c>
      <c r="K43" s="17" t="inlineStr">
        <is>
          <t>Hidratacion profunda</t>
        </is>
      </c>
      <c r="L43" s="17" t="inlineStr">
        <is>
          <t>Condicionador</t>
        </is>
      </c>
      <c r="M43" s="17" t="inlineStr">
        <is>
          <t>Acondicionador</t>
        </is>
      </c>
      <c r="N43" s="17" t="inlineStr">
        <is>
          <t>500 ml</t>
        </is>
      </c>
      <c r="O43" s="17" t="n">
        <v>500</v>
      </c>
      <c r="P43" s="17" t="inlineStr">
        <is>
          <t>ml</t>
        </is>
      </c>
      <c r="Q43" s="18" t="n">
        <v>84.90000000000001</v>
      </c>
      <c r="R43" s="18" t="n"/>
      <c r="S43" s="19">
        <f>IF(ISBLANK(R43),0,IFERROR((Q43-R43)/Q43,0))</f>
        <v/>
      </c>
      <c r="T43" s="17">
        <f>R43&lt;&gt;""</f>
        <v/>
      </c>
      <c r="U43" s="17">
        <f>TRUE()</f>
        <v/>
      </c>
      <c r="V43" s="17" t="n"/>
      <c r="W43" s="17" t="inlineStr">
        <is>
          <t>Acondicionador de la linea Cavalo Forte Hidra que facilita el desenredado y sella la cuticula: aporta hidratacion profunda y protege el cabello frente a agresiones externas.</t>
        </is>
      </c>
      <c r="X43" s="17" t="n"/>
      <c r="Y43" s="17" t="inlineStr">
        <is>
          <t>Facilita el desenredado | Sella la cuticula | Aporta suavidad y brillo</t>
        </is>
      </c>
      <c r="Z43" s="17" t="n"/>
      <c r="AA43" s="17" t="inlineStr">
        <is>
          <t>Acondicionador</t>
        </is>
      </c>
      <c r="AB43" s="17" t="n"/>
      <c r="AC43" s="17" t="inlineStr">
        <is>
          <t>Aplicar en el largo y las puntas del cabello despues del champu, dejar actuar unos minutos y enjuagar.</t>
        </is>
      </c>
      <c r="AD43" s="17" t="inlineStr">
        <is>
          <t>Acido hialuronico | Oleo de rosa mosqueta | Vitamina B3</t>
        </is>
      </c>
      <c r="AE43" s="17" t="inlineStr">
        <is>
          <t>Acido hialuronico | Aceite de rosa mosqueta | Vitamina B3</t>
        </is>
      </c>
      <c r="AF43" s="17" t="n"/>
      <c r="AG43" s="17" t="n"/>
      <c r="AH43" s="20" t="inlineStr">
        <is>
          <t>condicionador-cavalo-forte-hidra-500ml.webp</t>
        </is>
      </c>
      <c r="AI43" s="17" t="n"/>
      <c r="AJ43" s="17" t="inlineStr">
        <is>
          <t>Todo tipo de cabello, especialmente cabello reseco</t>
        </is>
      </c>
      <c r="AK43" s="17" t="inlineStr">
        <is>
          <t>https://haskellcosmeticos.com.br/tratamentos-capilares/cavalo-forte-hidra/</t>
        </is>
      </c>
      <c r="AL43" s="17" t="inlineStr">
        <is>
          <t>2026-07-24</t>
        </is>
      </c>
      <c r="AM43" s="21">
        <f>IF(ISBLANK(Q43),"",Q43*Parametros_PEN!$B$2)</f>
        <v/>
      </c>
      <c r="AN43" s="21">
        <f>IF(ISBLANK(Q43),"",Q43*Parametros_PEN!$B$2*(1+Parametros_PEN!$B$3))</f>
        <v/>
      </c>
      <c r="AO43" s="21">
        <f>IF(ISBLANK(R43),"",R43*Parametros_PEN!$B$2)</f>
        <v/>
      </c>
      <c r="AP43" s="21">
        <f>IF(ISBLANK(R43),"",R43*Parametros_PEN!$B$2*(1+Parametros_PEN!$B$3))</f>
        <v/>
      </c>
    </row>
    <row r="44" ht="46.25" customHeight="1" s="15">
      <c r="A44" s="17" t="inlineStr">
        <is>
          <t>HSK-0043</t>
        </is>
      </c>
      <c r="B44" s="17" t="inlineStr">
        <is>
          <t>mascarilla-de-tratamiento-cavalo-forte-hidra-300-g</t>
        </is>
      </c>
      <c r="C44" s="17" t="n"/>
      <c r="D44" s="17" t="inlineStr">
        <is>
          <t>Haskell</t>
        </is>
      </c>
      <c r="E44" s="17" t="inlineStr">
        <is>
          <t>Mascara de Tratamento Cavalo Forte Hidra 300g</t>
        </is>
      </c>
      <c r="F44" s="17" t="inlineStr">
        <is>
          <t>Mascarilla de tratamiento Cavalo Forte Hidra 300 g</t>
        </is>
      </c>
      <c r="G44" s="17" t="inlineStr">
        <is>
          <t>Cavalo Forte Hidra</t>
        </is>
      </c>
      <c r="H44" s="17" t="inlineStr">
        <is>
          <t>Tratamentos Capilares</t>
        </is>
      </c>
      <c r="I44" s="17" t="inlineStr">
        <is>
          <t>Tratamientos capilares</t>
        </is>
      </c>
      <c r="J44" s="17" t="inlineStr">
        <is>
          <t>Hidratacao profunda</t>
        </is>
      </c>
      <c r="K44" s="17" t="inlineStr">
        <is>
          <t>Hidratacion profunda</t>
        </is>
      </c>
      <c r="L44" s="17" t="inlineStr">
        <is>
          <t>Mascara de Tratamento</t>
        </is>
      </c>
      <c r="M44" s="17" t="inlineStr">
        <is>
          <t>Mascarilla de tratamiento</t>
        </is>
      </c>
      <c r="N44" s="17" t="inlineStr">
        <is>
          <t>300 g</t>
        </is>
      </c>
      <c r="O44" s="17" t="n">
        <v>300</v>
      </c>
      <c r="P44" s="17" t="inlineStr">
        <is>
          <t>g</t>
        </is>
      </c>
      <c r="Q44" s="18" t="n">
        <v>74.90000000000001</v>
      </c>
      <c r="R44" s="18" t="n"/>
      <c r="S44" s="19">
        <f>IF(ISBLANK(R44),0,IFERROR((Q44-R44)/Q44,0))</f>
        <v/>
      </c>
      <c r="T44" s="17">
        <f>R44&lt;&gt;""</f>
        <v/>
      </c>
      <c r="U44" s="17">
        <f>TRUE()</f>
        <v/>
      </c>
      <c r="V44" s="17" t="n"/>
      <c r="W44" s="17" t="inlineStr">
        <is>
          <t>Mascarilla de tratamiento concentrada de la linea Cavalo Forte Hidra, de uso posterior al champu: aporta hidratacion profunda y protege el cabello frente a agresiones externas.</t>
        </is>
      </c>
      <c r="X44" s="17" t="n"/>
      <c r="Y44" s="17" t="inlineStr">
        <is>
          <t>Tratamiento concentrado | Actua en profundidad sobre la fibra capilar | Refuerza el resultado de la linea</t>
        </is>
      </c>
      <c r="Z44" s="17" t="n"/>
      <c r="AA44" s="17" t="inlineStr">
        <is>
          <t>Tratamiento intensivo</t>
        </is>
      </c>
      <c r="AB44" s="17" t="n"/>
      <c r="AC44" s="17" t="inlineStr">
        <is>
          <t>Aplicar mechon por mechon despues del champu, dejar actuar de 3 a 5 minutos y enjuagar bien.</t>
        </is>
      </c>
      <c r="AD44" s="17" t="inlineStr">
        <is>
          <t>Acido hialuronico | Oleo de rosa mosqueta | Vitamina B3</t>
        </is>
      </c>
      <c r="AE44" s="17" t="inlineStr">
        <is>
          <t>Acido hialuronico | Aceite de rosa mosqueta | Vitamina B3</t>
        </is>
      </c>
      <c r="AF44" s="17" t="n"/>
      <c r="AG44" s="17" t="n"/>
      <c r="AH44" s="20" t="inlineStr">
        <is>
          <t>mascara-de-tratamento-cavalo-forte-hidra-300g.webp</t>
        </is>
      </c>
      <c r="AI44" s="17" t="n"/>
      <c r="AJ44" s="17" t="inlineStr">
        <is>
          <t>Todo tipo de cabello, especialmente cabello reseco</t>
        </is>
      </c>
      <c r="AK44" s="17" t="inlineStr">
        <is>
          <t>https://haskellcosmeticos.com.br/tratamentos-capilares/cavalo-forte-hidra/</t>
        </is>
      </c>
      <c r="AL44" s="17" t="inlineStr">
        <is>
          <t>2026-07-24</t>
        </is>
      </c>
      <c r="AM44" s="21">
        <f>IF(ISBLANK(Q44),"",Q44*Parametros_PEN!$B$2)</f>
        <v/>
      </c>
      <c r="AN44" s="21">
        <f>IF(ISBLANK(Q44),"",Q44*Parametros_PEN!$B$2*(1+Parametros_PEN!$B$3))</f>
        <v/>
      </c>
      <c r="AO44" s="21">
        <f>IF(ISBLANK(R44),"",R44*Parametros_PEN!$B$2)</f>
        <v/>
      </c>
      <c r="AP44" s="21">
        <f>IF(ISBLANK(R44),"",R44*Parametros_PEN!$B$2*(1+Parametros_PEN!$B$3))</f>
        <v/>
      </c>
    </row>
    <row r="45" ht="46.25" customHeight="1" s="15">
      <c r="A45" s="17" t="inlineStr">
        <is>
          <t>HSK-0044</t>
        </is>
      </c>
      <c r="B45" s="17" t="inlineStr">
        <is>
          <t>mascarilla-de-tratamiento-cavalo-forte-hidra-500-g</t>
        </is>
      </c>
      <c r="C45" s="17" t="n"/>
      <c r="D45" s="17" t="inlineStr">
        <is>
          <t>Haskell</t>
        </is>
      </c>
      <c r="E45" s="17" t="inlineStr">
        <is>
          <t>Mascara de Tratamento Cavalo Forte Hidra 500g</t>
        </is>
      </c>
      <c r="F45" s="17" t="inlineStr">
        <is>
          <t>Mascarilla de tratamiento Cavalo Forte Hidra 500 g</t>
        </is>
      </c>
      <c r="G45" s="17" t="inlineStr">
        <is>
          <t>Cavalo Forte Hidra</t>
        </is>
      </c>
      <c r="H45" s="17" t="inlineStr">
        <is>
          <t>Tratamentos Capilares</t>
        </is>
      </c>
      <c r="I45" s="17" t="inlineStr">
        <is>
          <t>Tratamientos capilares</t>
        </is>
      </c>
      <c r="J45" s="17" t="inlineStr">
        <is>
          <t>Hidratacao profunda</t>
        </is>
      </c>
      <c r="K45" s="17" t="inlineStr">
        <is>
          <t>Hidratacion profunda</t>
        </is>
      </c>
      <c r="L45" s="17" t="inlineStr">
        <is>
          <t>Mascara de Tratamento</t>
        </is>
      </c>
      <c r="M45" s="17" t="inlineStr">
        <is>
          <t>Mascarilla de tratamiento</t>
        </is>
      </c>
      <c r="N45" s="17" t="inlineStr">
        <is>
          <t>500 g</t>
        </is>
      </c>
      <c r="O45" s="17" t="n">
        <v>500</v>
      </c>
      <c r="P45" s="17" t="inlineStr">
        <is>
          <t>g</t>
        </is>
      </c>
      <c r="Q45" s="18" t="n">
        <v>89.90000000000001</v>
      </c>
      <c r="R45" s="18" t="n"/>
      <c r="S45" s="19">
        <f>IF(ISBLANK(R45),0,IFERROR((Q45-R45)/Q45,0))</f>
        <v/>
      </c>
      <c r="T45" s="17">
        <f>R45&lt;&gt;""</f>
        <v/>
      </c>
      <c r="U45" s="17">
        <f>TRUE()</f>
        <v/>
      </c>
      <c r="V45" s="17" t="n"/>
      <c r="W45" s="17" t="inlineStr">
        <is>
          <t>Mascarilla de tratamiento concentrada de la linea Cavalo Forte Hidra, de uso posterior al champu: aporta hidratacion profunda y protege el cabello frente a agresiones externas.</t>
        </is>
      </c>
      <c r="X45" s="17" t="n"/>
      <c r="Y45" s="17" t="inlineStr">
        <is>
          <t>Tratamiento concentrado | Actua en profundidad sobre la fibra capilar | Refuerza el resultado de la linea</t>
        </is>
      </c>
      <c r="Z45" s="17" t="n"/>
      <c r="AA45" s="17" t="inlineStr">
        <is>
          <t>Tratamiento intensivo</t>
        </is>
      </c>
      <c r="AB45" s="17" t="n"/>
      <c r="AC45" s="17" t="inlineStr">
        <is>
          <t>Aplicar mechon por mechon despues del champu, dejar actuar de 3 a 5 minutos y enjuagar bien.</t>
        </is>
      </c>
      <c r="AD45" s="17" t="inlineStr">
        <is>
          <t>Acido hialuronico | Oleo de rosa mosqueta | Vitamina B3</t>
        </is>
      </c>
      <c r="AE45" s="17" t="inlineStr">
        <is>
          <t>Acido hialuronico | Aceite de rosa mosqueta | Vitamina B3</t>
        </is>
      </c>
      <c r="AF45" s="17" t="n"/>
      <c r="AG45" s="17" t="n"/>
      <c r="AH45" s="20" t="inlineStr">
        <is>
          <t>mascara-de-tratamento-cavalo-forte-hidra-500g.webp</t>
        </is>
      </c>
      <c r="AI45" s="17" t="n"/>
      <c r="AJ45" s="17" t="inlineStr">
        <is>
          <t>Todo tipo de cabello, especialmente cabello reseco</t>
        </is>
      </c>
      <c r="AK45" s="17" t="inlineStr">
        <is>
          <t>https://haskellcosmeticos.com.br/tratamentos-capilares/cavalo-forte-hidra/</t>
        </is>
      </c>
      <c r="AL45" s="17" t="inlineStr">
        <is>
          <t>2026-07-24</t>
        </is>
      </c>
      <c r="AM45" s="21">
        <f>IF(ISBLANK(Q45),"",Q45*Parametros_PEN!$B$2)</f>
        <v/>
      </c>
      <c r="AN45" s="21">
        <f>IF(ISBLANK(Q45),"",Q45*Parametros_PEN!$B$2*(1+Parametros_PEN!$B$3))</f>
        <v/>
      </c>
      <c r="AO45" s="21">
        <f>IF(ISBLANK(R45),"",R45*Parametros_PEN!$B$2)</f>
        <v/>
      </c>
      <c r="AP45" s="21">
        <f>IF(ISBLANK(R45),"",R45*Parametros_PEN!$B$2*(1+Parametros_PEN!$B$3))</f>
        <v/>
      </c>
    </row>
    <row r="46" ht="35.05" customHeight="1" s="15">
      <c r="A46" s="17" t="inlineStr">
        <is>
          <t>HSK-0045</t>
        </is>
      </c>
      <c r="B46" s="17" t="inlineStr">
        <is>
          <t>fluido-hidratante-cavalo-forte-hidra-120-ml</t>
        </is>
      </c>
      <c r="C46" s="17" t="n"/>
      <c r="D46" s="17" t="inlineStr">
        <is>
          <t>Haskell</t>
        </is>
      </c>
      <c r="E46" s="17" t="inlineStr">
        <is>
          <t>Fluido Hidratante Cavalo Forte Hidra 120ml</t>
        </is>
      </c>
      <c r="F46" s="17" t="inlineStr">
        <is>
          <t>Fluido hidratante Cavalo Forte Hidra 120 ml</t>
        </is>
      </c>
      <c r="G46" s="17" t="inlineStr">
        <is>
          <t>Cavalo Forte Hidra</t>
        </is>
      </c>
      <c r="H46" s="17" t="inlineStr">
        <is>
          <t>Tratamentos Capilares</t>
        </is>
      </c>
      <c r="I46" s="17" t="inlineStr">
        <is>
          <t>Tratamientos capilares</t>
        </is>
      </c>
      <c r="J46" s="17" t="inlineStr">
        <is>
          <t>Hidratacao profunda</t>
        </is>
      </c>
      <c r="K46" s="17" t="inlineStr">
        <is>
          <t>Hidratacion profunda</t>
        </is>
      </c>
      <c r="L46" s="17" t="inlineStr">
        <is>
          <t>Fluido</t>
        </is>
      </c>
      <c r="M46" s="17" t="inlineStr">
        <is>
          <t>Fluido finalizador</t>
        </is>
      </c>
      <c r="N46" s="17" t="inlineStr">
        <is>
          <t>120 ml</t>
        </is>
      </c>
      <c r="O46" s="17" t="n">
        <v>120</v>
      </c>
      <c r="P46" s="17" t="inlineStr">
        <is>
          <t>ml</t>
        </is>
      </c>
      <c r="Q46" s="18" t="n">
        <v>48.9</v>
      </c>
      <c r="R46" s="18" t="n"/>
      <c r="S46" s="19">
        <f>IF(ISBLANK(R46),0,IFERROR((Q46-R46)/Q46,0))</f>
        <v/>
      </c>
      <c r="T46" s="17">
        <f>R46&lt;&gt;""</f>
        <v/>
      </c>
      <c r="U46" s="17">
        <f>TRUE()</f>
        <v/>
      </c>
      <c r="V46" s="17" t="n"/>
      <c r="W46" s="17" t="inlineStr">
        <is>
          <t>Fluido finalizador sin enjuague de la linea Cavalo Forte Hidra: aporta hidratacion profunda y protege el cabello frente a agresiones externas.</t>
        </is>
      </c>
      <c r="X46" s="17" t="n"/>
      <c r="Y46" s="17" t="inlineStr">
        <is>
          <t>Finalizador sin enjuague | Facilita el peinado | Protege del calor y de agresiones externas</t>
        </is>
      </c>
      <c r="Z46" s="17" t="n"/>
      <c r="AA46" s="17" t="inlineStr">
        <is>
          <t>Finalizador</t>
        </is>
      </c>
      <c r="AB46" s="17" t="n"/>
      <c r="AC46" s="17" t="inlineStr">
        <is>
          <t>Aplicar sobre el cabello limpio y humedo, distribuir en todo el largo y finalizar como se prefiera.</t>
        </is>
      </c>
      <c r="AD46" s="17" t="inlineStr">
        <is>
          <t>Acido hialuronico | Oleo de rosa mosqueta | Vitamina B3</t>
        </is>
      </c>
      <c r="AE46" s="17" t="inlineStr">
        <is>
          <t>Acido hialuronico | Aceite de rosa mosqueta | Vitamina B3</t>
        </is>
      </c>
      <c r="AF46" s="17" t="n"/>
      <c r="AG46" s="17" t="n"/>
      <c r="AH46" s="20" t="inlineStr">
        <is>
          <t>fluido-hidratante-cavalo-forte-hidra-120ml.webp</t>
        </is>
      </c>
      <c r="AI46" s="17" t="n"/>
      <c r="AJ46" s="17" t="inlineStr">
        <is>
          <t>Todo tipo de cabello, especialmente cabello reseco</t>
        </is>
      </c>
      <c r="AK46" s="17" t="inlineStr">
        <is>
          <t>https://haskellcosmeticos.com.br/tratamentos-capilares/cavalo-forte-hidra/</t>
        </is>
      </c>
      <c r="AL46" s="17" t="inlineStr">
        <is>
          <t>2026-07-24</t>
        </is>
      </c>
      <c r="AM46" s="21">
        <f>IF(ISBLANK(Q46),"",Q46*Parametros_PEN!$B$2)</f>
        <v/>
      </c>
      <c r="AN46" s="21">
        <f>IF(ISBLANK(Q46),"",Q46*Parametros_PEN!$B$2*(1+Parametros_PEN!$B$3))</f>
        <v/>
      </c>
      <c r="AO46" s="21">
        <f>IF(ISBLANK(R46),"",R46*Parametros_PEN!$B$2)</f>
        <v/>
      </c>
      <c r="AP46" s="21">
        <f>IF(ISBLANK(R46),"",R46*Parametros_PEN!$B$2*(1+Parametros_PEN!$B$3))</f>
        <v/>
      </c>
    </row>
    <row r="47" ht="35.05" customHeight="1" s="15">
      <c r="A47" s="17" t="inlineStr">
        <is>
          <t>HSK-0046</t>
        </is>
      </c>
      <c r="B47" s="17" t="inlineStr">
        <is>
          <t>exfoliante-corporal-doce-de-leite-150-g</t>
        </is>
      </c>
      <c r="C47" s="17" t="n"/>
      <c r="D47" s="17" t="inlineStr">
        <is>
          <t>Haskell</t>
        </is>
      </c>
      <c r="E47" s="17" t="inlineStr">
        <is>
          <t>Esfoliante Corporal Doce de Leite 150g</t>
        </is>
      </c>
      <c r="F47" s="17" t="inlineStr">
        <is>
          <t>Exfoliante corporal Doce de Leite 150 g</t>
        </is>
      </c>
      <c r="G47" s="17" t="inlineStr">
        <is>
          <t>Doce de Leite Vicosa</t>
        </is>
      </c>
      <c r="H47" s="17" t="inlineStr">
        <is>
          <t>Tratamentos Capilares</t>
        </is>
      </c>
      <c r="I47" s="17" t="inlineStr">
        <is>
          <t>Tratamientos capilares</t>
        </is>
      </c>
      <c r="J47" s="17" t="inlineStr">
        <is>
          <t>Colecao corpo e cabelo perfumada</t>
        </is>
      </c>
      <c r="K47" s="17" t="inlineStr">
        <is>
          <t>Coleccion de cuidado corporal y capilar perfumada</t>
        </is>
      </c>
      <c r="L47" s="17" t="inlineStr">
        <is>
          <t>Esfoliante</t>
        </is>
      </c>
      <c r="M47" s="17" t="inlineStr">
        <is>
          <t>Exfoliante corporal</t>
        </is>
      </c>
      <c r="N47" s="17" t="inlineStr">
        <is>
          <t>150 g</t>
        </is>
      </c>
      <c r="O47" s="17" t="n">
        <v>150</v>
      </c>
      <c r="P47" s="17" t="inlineStr">
        <is>
          <t>g</t>
        </is>
      </c>
      <c r="Q47" s="18" t="n">
        <v>43.9</v>
      </c>
      <c r="R47" s="18" t="n"/>
      <c r="S47" s="19">
        <f>IF(ISBLANK(R47),0,IFERROR((Q47-R47)/Q47,0))</f>
        <v/>
      </c>
      <c r="T47" s="17">
        <f>R47&lt;&gt;""</f>
        <v/>
      </c>
      <c r="U47" s="17">
        <f>TRUE()</f>
        <v/>
      </c>
      <c r="V47" s="17" t="n"/>
      <c r="W47" s="17" t="inlineStr">
        <is>
          <t>Exfoliante corporal de la coleccion Doce de Leite Vicosa: cuida el cabello y la piel con una fragancia dulce, dentro de una coleccion especial de la marca.</t>
        </is>
      </c>
      <c r="X47" s="17" t="n"/>
      <c r="Y47" s="17" t="inlineStr">
        <is>
          <t>Elimina celulas muertas | Deja la piel suave | Fragancia de la coleccion</t>
        </is>
      </c>
      <c r="Z47" s="17" t="n"/>
      <c r="AA47" s="17" t="inlineStr">
        <is>
          <t>Exfoliante corporal</t>
        </is>
      </c>
      <c r="AB47" s="17" t="n"/>
      <c r="AC47" s="17" t="inlineStr">
        <is>
          <t>Aplicar sobre la piel humeda, masajear con movimientos circulares y enjuagar.</t>
        </is>
      </c>
      <c r="AD47" s="17" t="inlineStr">
        <is>
          <t>Leite vegetal | Pantenol</t>
        </is>
      </c>
      <c r="AE47" s="17" t="inlineStr">
        <is>
          <t>Leche vegetal | Pantenol</t>
        </is>
      </c>
      <c r="AF47" s="17" t="n"/>
      <c r="AG47" s="17" t="n"/>
      <c r="AH47" s="20" t="inlineStr">
        <is>
          <t>esfoliante-corporal-doce-de-leite-150g.webp</t>
        </is>
      </c>
      <c r="AI47" s="20" t="inlineStr">
        <is>
          <t>esfoliante-corporal-doce-de-leite-150g_02.webp</t>
        </is>
      </c>
      <c r="AJ47" s="17" t="inlineStr">
        <is>
          <t>Quienes buscan una rutina de cuidado perfumada para cabello y piel</t>
        </is>
      </c>
      <c r="AK47" s="17" t="inlineStr">
        <is>
          <t>https://haskellcosmeticos.com.br/tratamentos-capilares/doce-de-leite-vicosa/</t>
        </is>
      </c>
      <c r="AL47" s="17" t="inlineStr">
        <is>
          <t>2026-07-24</t>
        </is>
      </c>
      <c r="AM47" s="21">
        <f>IF(ISBLANK(Q47),"",Q47*Parametros_PEN!$B$2)</f>
        <v/>
      </c>
      <c r="AN47" s="21">
        <f>IF(ISBLANK(Q47),"",Q47*Parametros_PEN!$B$2*(1+Parametros_PEN!$B$3))</f>
        <v/>
      </c>
      <c r="AO47" s="21">
        <f>IF(ISBLANK(R47),"",R47*Parametros_PEN!$B$2)</f>
        <v/>
      </c>
      <c r="AP47" s="21">
        <f>IF(ISBLANK(R47),"",R47*Parametros_PEN!$B$2*(1+Parametros_PEN!$B$3))</f>
        <v/>
      </c>
    </row>
    <row r="48" ht="35.05" customHeight="1" s="15">
      <c r="A48" s="17" t="inlineStr">
        <is>
          <t>HSK-0047</t>
        </is>
      </c>
      <c r="B48" s="17" t="inlineStr">
        <is>
          <t>balsamo-labial-hidratante-doce-de-leite-10-g</t>
        </is>
      </c>
      <c r="C48" s="17" t="n"/>
      <c r="D48" s="17" t="inlineStr">
        <is>
          <t>Haskell</t>
        </is>
      </c>
      <c r="E48" s="17" t="inlineStr">
        <is>
          <t>Hidratante Labial Doce de Leite 10g</t>
        </is>
      </c>
      <c r="F48" s="17" t="inlineStr">
        <is>
          <t>Balsamo labial hidratante Doce de Leite 10 g</t>
        </is>
      </c>
      <c r="G48" s="17" t="inlineStr">
        <is>
          <t>Doce de Leite Vicosa</t>
        </is>
      </c>
      <c r="H48" s="17" t="inlineStr">
        <is>
          <t>Tratamentos Capilares</t>
        </is>
      </c>
      <c r="I48" s="17" t="inlineStr">
        <is>
          <t>Tratamientos capilares</t>
        </is>
      </c>
      <c r="J48" s="17" t="inlineStr">
        <is>
          <t>Colecao corpo e cabelo perfumada</t>
        </is>
      </c>
      <c r="K48" s="17" t="inlineStr">
        <is>
          <t>Coleccion de cuidado corporal y capilar perfumada</t>
        </is>
      </c>
      <c r="L48" s="17" t="inlineStr">
        <is>
          <t>Hidratante Labial</t>
        </is>
      </c>
      <c r="M48" s="17" t="inlineStr">
        <is>
          <t>Balsamo labial</t>
        </is>
      </c>
      <c r="N48" s="17" t="inlineStr">
        <is>
          <t>10 g</t>
        </is>
      </c>
      <c r="O48" s="17" t="n">
        <v>10</v>
      </c>
      <c r="P48" s="17" t="inlineStr">
        <is>
          <t>g</t>
        </is>
      </c>
      <c r="Q48" s="18" t="n">
        <v>25.9</v>
      </c>
      <c r="R48" s="18" t="n"/>
      <c r="S48" s="19">
        <f>IF(ISBLANK(R48),0,IFERROR((Q48-R48)/Q48,0))</f>
        <v/>
      </c>
      <c r="T48" s="17">
        <f>R48&lt;&gt;""</f>
        <v/>
      </c>
      <c r="U48" s="17">
        <f>TRUE()</f>
        <v/>
      </c>
      <c r="V48" s="17" t="n"/>
      <c r="W48" s="17" t="inlineStr">
        <is>
          <t>Balsamo labial de la coleccion Doce de Leite Vicosa: cuida el cabello y la piel con una fragancia dulce, dentro de una coleccion especial de la marca.</t>
        </is>
      </c>
      <c r="X48" s="17" t="n"/>
      <c r="Y48" s="17" t="inlineStr">
        <is>
          <t>Hidrata los labios | Efecto gloss | Fragancia de la coleccion</t>
        </is>
      </c>
      <c r="Z48" s="17" t="n"/>
      <c r="AA48" s="17" t="inlineStr">
        <is>
          <t>Balsamo labial</t>
        </is>
      </c>
      <c r="AB48" s="17" t="n"/>
      <c r="AC48" s="17" t="inlineStr">
        <is>
          <t>Aplicar directamente sobre los labios cuantas veces sea necesario.</t>
        </is>
      </c>
      <c r="AD48" s="17" t="inlineStr">
        <is>
          <t>Leite vegetal | Pantenol</t>
        </is>
      </c>
      <c r="AE48" s="17" t="inlineStr">
        <is>
          <t>Leche vegetal | Pantenol</t>
        </is>
      </c>
      <c r="AF48" s="17" t="n"/>
      <c r="AG48" s="17" t="n"/>
      <c r="AH48" s="20" t="inlineStr">
        <is>
          <t>hidratante-labial-doce-de-leite-10g.webp</t>
        </is>
      </c>
      <c r="AI48" s="20" t="inlineStr">
        <is>
          <t>hidratante-labial-doce-de-leite-10g_02.webp</t>
        </is>
      </c>
      <c r="AJ48" s="17" t="inlineStr">
        <is>
          <t>Quienes buscan una rutina de cuidado perfumada para cabello y piel</t>
        </is>
      </c>
      <c r="AK48" s="17" t="inlineStr">
        <is>
          <t>https://haskellcosmeticos.com.br/tratamentos-capilares/doce-de-leite-vicosa/</t>
        </is>
      </c>
      <c r="AL48" s="17" t="inlineStr">
        <is>
          <t>2026-07-24</t>
        </is>
      </c>
      <c r="AM48" s="21">
        <f>IF(ISBLANK(Q48),"",Q48*Parametros_PEN!$B$2)</f>
        <v/>
      </c>
      <c r="AN48" s="21">
        <f>IF(ISBLANK(Q48),"",Q48*Parametros_PEN!$B$2*(1+Parametros_PEN!$B$3))</f>
        <v/>
      </c>
      <c r="AO48" s="21">
        <f>IF(ISBLANK(R48),"",R48*Parametros_PEN!$B$2)</f>
        <v/>
      </c>
      <c r="AP48" s="21">
        <f>IF(ISBLANK(R48),"",R48*Parametros_PEN!$B$2*(1+Parametros_PEN!$B$3))</f>
        <v/>
      </c>
    </row>
    <row r="49" ht="46.25" customHeight="1" s="15">
      <c r="A49" s="17" t="inlineStr">
        <is>
          <t>HSK-0048</t>
        </is>
      </c>
      <c r="B49" s="17" t="inlineStr">
        <is>
          <t>champu-doce-de-leite-300-ml</t>
        </is>
      </c>
      <c r="C49" s="17" t="n"/>
      <c r="D49" s="17" t="inlineStr">
        <is>
          <t>Haskell</t>
        </is>
      </c>
      <c r="E49" s="17" t="inlineStr">
        <is>
          <t>Shampoo Doce de Leite 300ml</t>
        </is>
      </c>
      <c r="F49" s="17" t="inlineStr">
        <is>
          <t>Champu Doce de Leite 300 ml</t>
        </is>
      </c>
      <c r="G49" s="17" t="inlineStr">
        <is>
          <t>Doce de Leite Vicosa</t>
        </is>
      </c>
      <c r="H49" s="17" t="inlineStr">
        <is>
          <t>Tratamentos Capilares</t>
        </is>
      </c>
      <c r="I49" s="17" t="inlineStr">
        <is>
          <t>Tratamientos capilares</t>
        </is>
      </c>
      <c r="J49" s="17" t="inlineStr">
        <is>
          <t>Colecao corpo e cabelo perfumada</t>
        </is>
      </c>
      <c r="K49" s="17" t="inlineStr">
        <is>
          <t>Coleccion de cuidado corporal y capilar perfumada</t>
        </is>
      </c>
      <c r="L49" s="17" t="inlineStr">
        <is>
          <t>Shampoo</t>
        </is>
      </c>
      <c r="M49" s="17" t="inlineStr">
        <is>
          <t>Champu</t>
        </is>
      </c>
      <c r="N49" s="17" t="inlineStr">
        <is>
          <t>300 ml</t>
        </is>
      </c>
      <c r="O49" s="17" t="n">
        <v>300</v>
      </c>
      <c r="P49" s="17" t="inlineStr">
        <is>
          <t>ml</t>
        </is>
      </c>
      <c r="Q49" s="18" t="n">
        <v>62.9</v>
      </c>
      <c r="R49" s="18" t="n"/>
      <c r="S49" s="19">
        <f>IF(ISBLANK(R49),0,IFERROR((Q49-R49)/Q49,0))</f>
        <v/>
      </c>
      <c r="T49" s="17">
        <f>R49&lt;&gt;""</f>
        <v/>
      </c>
      <c r="U49" s="17">
        <f>TRUE()</f>
        <v/>
      </c>
      <c r="V49" s="17" t="n"/>
      <c r="W49" s="17" t="inlineStr">
        <is>
          <t>Champu de limpieza suave de la linea Doce de Leite Vicosa, que prepara el cabello para el tratamiento: cuida el cabello y la piel con una fragancia dulce, dentro de una coleccion especial de la marca.</t>
        </is>
      </c>
      <c r="X49" s="17" t="n"/>
      <c r="Y49" s="17" t="inlineStr">
        <is>
          <t>Limpieza suave sin resecar | Prepara el cabello para el resto de la rutina | Respeta el equilibrio del cuero cabelludo</t>
        </is>
      </c>
      <c r="Z49" s="17" t="n"/>
      <c r="AA49" s="17" t="inlineStr">
        <is>
          <t>Limpiador suave</t>
        </is>
      </c>
      <c r="AB49" s="17" t="n"/>
      <c r="AC49" s="17" t="inlineStr">
        <is>
          <t>Aplicar sobre el cabello mojado, masajear el cuero cabelludo con movimientos suaves y enjuagar bien.</t>
        </is>
      </c>
      <c r="AD49" s="17" t="inlineStr">
        <is>
          <t>Leite vegetal | Pantenol</t>
        </is>
      </c>
      <c r="AE49" s="17" t="inlineStr">
        <is>
          <t>Leche vegetal | Pantenol</t>
        </is>
      </c>
      <c r="AF49" s="17" t="n"/>
      <c r="AG49" s="17" t="n"/>
      <c r="AH49" s="20" t="inlineStr">
        <is>
          <t>shampoo-doce-de-leite-300ml.webp</t>
        </is>
      </c>
      <c r="AI49" s="20" t="inlineStr">
        <is>
          <t>shampoo-doce-de-leite-300ml_02.webp</t>
        </is>
      </c>
      <c r="AJ49" s="17" t="inlineStr">
        <is>
          <t>Quienes buscan una rutina de cuidado perfumada para cabello y piel</t>
        </is>
      </c>
      <c r="AK49" s="17" t="inlineStr">
        <is>
          <t>https://haskellcosmeticos.com.br/tratamentos-capilares/doce-de-leite-vicosa/</t>
        </is>
      </c>
      <c r="AL49" s="17" t="inlineStr">
        <is>
          <t>2026-07-24</t>
        </is>
      </c>
      <c r="AM49" s="21">
        <f>IF(ISBLANK(Q49),"",Q49*Parametros_PEN!$B$2)</f>
        <v/>
      </c>
      <c r="AN49" s="21">
        <f>IF(ISBLANK(Q49),"",Q49*Parametros_PEN!$B$2*(1+Parametros_PEN!$B$3))</f>
        <v/>
      </c>
      <c r="AO49" s="21">
        <f>IF(ISBLANK(R49),"",R49*Parametros_PEN!$B$2)</f>
        <v/>
      </c>
      <c r="AP49" s="21">
        <f>IF(ISBLANK(R49),"",R49*Parametros_PEN!$B$2*(1+Parametros_PEN!$B$3))</f>
        <v/>
      </c>
    </row>
    <row r="50" ht="35.05" customHeight="1" s="15">
      <c r="A50" s="17" t="inlineStr">
        <is>
          <t>HSK-0049</t>
        </is>
      </c>
      <c r="B50" s="17" t="inlineStr">
        <is>
          <t>fluido-engrosador-encorpa-cabelo-120-ml</t>
        </is>
      </c>
      <c r="C50" s="17" t="n"/>
      <c r="D50" s="17" t="inlineStr">
        <is>
          <t>Haskell</t>
        </is>
      </c>
      <c r="E50" s="17" t="inlineStr">
        <is>
          <t>Fluido Engrossador Encorpa Cabelo 120ml</t>
        </is>
      </c>
      <c r="F50" s="17" t="inlineStr">
        <is>
          <t>Fluido engrosador Encorpa Cabelo 120 ml</t>
        </is>
      </c>
      <c r="G50" s="17" t="inlineStr">
        <is>
          <t>Encorpa Cabelo</t>
        </is>
      </c>
      <c r="H50" s="17" t="inlineStr">
        <is>
          <t>Tratamentos Capilares</t>
        </is>
      </c>
      <c r="I50" s="17" t="inlineStr">
        <is>
          <t>Tratamientos capilares</t>
        </is>
      </c>
      <c r="J50" s="17" t="inlineStr">
        <is>
          <t>Volume para cabelo fino</t>
        </is>
      </c>
      <c r="K50" s="17" t="inlineStr">
        <is>
          <t>Volumen para cabello fino</t>
        </is>
      </c>
      <c r="L50" s="17" t="inlineStr">
        <is>
          <t>Fluido</t>
        </is>
      </c>
      <c r="M50" s="17" t="inlineStr">
        <is>
          <t>Fluido finalizador</t>
        </is>
      </c>
      <c r="N50" s="17" t="inlineStr">
        <is>
          <t>120 ml</t>
        </is>
      </c>
      <c r="O50" s="17" t="n">
        <v>120</v>
      </c>
      <c r="P50" s="17" t="inlineStr">
        <is>
          <t>ml</t>
        </is>
      </c>
      <c r="Q50" s="18" t="n">
        <v>48.9</v>
      </c>
      <c r="R50" s="18" t="n"/>
      <c r="S50" s="19">
        <f>IF(ISBLANK(R50),0,IFERROR((Q50-R50)/Q50,0))</f>
        <v/>
      </c>
      <c r="T50" s="17">
        <f>R50&lt;&gt;""</f>
        <v/>
      </c>
      <c r="U50" s="17">
        <f>TRUE()</f>
        <v/>
      </c>
      <c r="V50" s="17" t="n"/>
      <c r="W50" s="17" t="inlineStr">
        <is>
          <t>Fluido finalizador sin enjuague de la linea Encorpa Cabelo: aumenta el espesor aparente del cabello fino y con poco volumen, sin apelmazar.</t>
        </is>
      </c>
      <c r="X50" s="17" t="n"/>
      <c r="Y50" s="17" t="inlineStr">
        <is>
          <t>Finalizador sin enjuague | Facilita el peinado | Protege del calor y de agresiones externas</t>
        </is>
      </c>
      <c r="Z50" s="17" t="n"/>
      <c r="AA50" s="17" t="inlineStr">
        <is>
          <t>Finalizador</t>
        </is>
      </c>
      <c r="AB50" s="17" t="n"/>
      <c r="AC50" s="17" t="inlineStr">
        <is>
          <t>Aplicar sobre el cabello limpio y humedo, distribuir en todo el largo y finalizar como se prefiera.</t>
        </is>
      </c>
      <c r="AD50" s="17" t="inlineStr">
        <is>
          <t>Acido hialuronico | Physalis</t>
        </is>
      </c>
      <c r="AE50" s="17" t="inlineStr">
        <is>
          <t>Acido hialuronico | Physalis</t>
        </is>
      </c>
      <c r="AF50" s="17" t="n"/>
      <c r="AG50" s="17" t="n"/>
      <c r="AH50" s="20" t="inlineStr">
        <is>
          <t>fluido-engrossador-encorpa-cabelo-haskell-120ml.webp</t>
        </is>
      </c>
      <c r="AI50" s="17" t="n"/>
      <c r="AJ50" s="17" t="inlineStr">
        <is>
          <t>Cabello fino y con poco volumen</t>
        </is>
      </c>
      <c r="AK50" s="17" t="inlineStr">
        <is>
          <t>https://haskellcosmeticos.com.br/tratamentos-capilares/linha-encorpa-cabelo-haskell/</t>
        </is>
      </c>
      <c r="AL50" s="17" t="inlineStr">
        <is>
          <t>2026-07-24</t>
        </is>
      </c>
      <c r="AM50" s="21">
        <f>IF(ISBLANK(Q50),"",Q50*Parametros_PEN!$B$2)</f>
        <v/>
      </c>
      <c r="AN50" s="21">
        <f>IF(ISBLANK(Q50),"",Q50*Parametros_PEN!$B$2*(1+Parametros_PEN!$B$3))</f>
        <v/>
      </c>
      <c r="AO50" s="21">
        <f>IF(ISBLANK(R50),"",R50*Parametros_PEN!$B$2)</f>
        <v/>
      </c>
      <c r="AP50" s="21">
        <f>IF(ISBLANK(R50),"",R50*Parametros_PEN!$B$2*(1+Parametros_PEN!$B$3))</f>
        <v/>
      </c>
    </row>
    <row r="51" ht="46.25" customHeight="1" s="15">
      <c r="A51" s="17" t="inlineStr">
        <is>
          <t>HSK-0050</t>
        </is>
      </c>
      <c r="B51" s="17" t="inlineStr">
        <is>
          <t>champu-engrosador-encorpa-cabelo-300-ml</t>
        </is>
      </c>
      <c r="C51" s="17" t="n"/>
      <c r="D51" s="17" t="inlineStr">
        <is>
          <t>Haskell</t>
        </is>
      </c>
      <c r="E51" s="17" t="inlineStr">
        <is>
          <t>Shampoo Engrossador Encorpa Cabelo 300ml</t>
        </is>
      </c>
      <c r="F51" s="17" t="inlineStr">
        <is>
          <t>Champu engrosador Encorpa Cabelo 300 ml</t>
        </is>
      </c>
      <c r="G51" s="17" t="inlineStr">
        <is>
          <t>Encorpa Cabelo</t>
        </is>
      </c>
      <c r="H51" s="17" t="inlineStr">
        <is>
          <t>Tratamentos Capilares</t>
        </is>
      </c>
      <c r="I51" s="17" t="inlineStr">
        <is>
          <t>Tratamientos capilares</t>
        </is>
      </c>
      <c r="J51" s="17" t="inlineStr">
        <is>
          <t>Volume para cabelo fino</t>
        </is>
      </c>
      <c r="K51" s="17" t="inlineStr">
        <is>
          <t>Volumen para cabello fino</t>
        </is>
      </c>
      <c r="L51" s="17" t="inlineStr">
        <is>
          <t>Shampoo</t>
        </is>
      </c>
      <c r="M51" s="17" t="inlineStr">
        <is>
          <t>Champu</t>
        </is>
      </c>
      <c r="N51" s="17" t="inlineStr">
        <is>
          <t>300 ml</t>
        </is>
      </c>
      <c r="O51" s="17" t="n">
        <v>300</v>
      </c>
      <c r="P51" s="17" t="inlineStr">
        <is>
          <t>ml</t>
        </is>
      </c>
      <c r="Q51" s="18" t="n">
        <v>62.9</v>
      </c>
      <c r="R51" s="18" t="n"/>
      <c r="S51" s="19">
        <f>IF(ISBLANK(R51),0,IFERROR((Q51-R51)/Q51,0))</f>
        <v/>
      </c>
      <c r="T51" s="17">
        <f>R51&lt;&gt;""</f>
        <v/>
      </c>
      <c r="U51" s="17">
        <f>TRUE()</f>
        <v/>
      </c>
      <c r="V51" s="17" t="n"/>
      <c r="W51" s="17" t="inlineStr">
        <is>
          <t>Champu de limpieza suave de la linea Encorpa Cabelo, que prepara el cabello para el tratamiento: aumenta el espesor aparente del cabello fino y con poco volumen, sin apelmazar.</t>
        </is>
      </c>
      <c r="X51" s="17" t="n"/>
      <c r="Y51" s="17" t="inlineStr">
        <is>
          <t>Limpieza suave sin resecar | Prepara el cabello para el resto de la rutina | Respeta el equilibrio del cuero cabelludo</t>
        </is>
      </c>
      <c r="Z51" s="17" t="n"/>
      <c r="AA51" s="17" t="inlineStr">
        <is>
          <t>Limpiador suave</t>
        </is>
      </c>
      <c r="AB51" s="17" t="n"/>
      <c r="AC51" s="17" t="inlineStr">
        <is>
          <t>Aplicar sobre el cabello mojado, masajear el cuero cabelludo con movimientos suaves y enjuagar bien.</t>
        </is>
      </c>
      <c r="AD51" s="17" t="inlineStr">
        <is>
          <t>Acido hialuronico | Physalis</t>
        </is>
      </c>
      <c r="AE51" s="17" t="inlineStr">
        <is>
          <t>Acido hialuronico | Physalis</t>
        </is>
      </c>
      <c r="AF51" s="17" t="n"/>
      <c r="AG51" s="17" t="n"/>
      <c r="AH51" s="20" t="inlineStr">
        <is>
          <t>shampoo-engrossador-encorpa-cabelo-300ml.webp</t>
        </is>
      </c>
      <c r="AI51" s="17" t="n"/>
      <c r="AJ51" s="17" t="inlineStr">
        <is>
          <t>Cabello fino y con poco volumen</t>
        </is>
      </c>
      <c r="AK51" s="17" t="inlineStr">
        <is>
          <t>https://haskellcosmeticos.com.br/tratamentos-capilares/linha-encorpa-cabelo-haskell/</t>
        </is>
      </c>
      <c r="AL51" s="17" t="inlineStr">
        <is>
          <t>2026-07-24</t>
        </is>
      </c>
      <c r="AM51" s="21">
        <f>IF(ISBLANK(Q51),"",Q51*Parametros_PEN!$B$2)</f>
        <v/>
      </c>
      <c r="AN51" s="21">
        <f>IF(ISBLANK(Q51),"",Q51*Parametros_PEN!$B$2*(1+Parametros_PEN!$B$3))</f>
        <v/>
      </c>
      <c r="AO51" s="21">
        <f>IF(ISBLANK(R51),"",R51*Parametros_PEN!$B$2)</f>
        <v/>
      </c>
      <c r="AP51" s="21">
        <f>IF(ISBLANK(R51),"",R51*Parametros_PEN!$B$2*(1+Parametros_PEN!$B$3))</f>
        <v/>
      </c>
    </row>
    <row r="52" ht="46.25" customHeight="1" s="15">
      <c r="A52" s="17" t="inlineStr">
        <is>
          <t>HSK-0051</t>
        </is>
      </c>
      <c r="B52" s="17" t="inlineStr">
        <is>
          <t>acondicionador-engrosador-encorpa-cabelo-300-ml</t>
        </is>
      </c>
      <c r="C52" s="17" t="n"/>
      <c r="D52" s="17" t="inlineStr">
        <is>
          <t>Haskell</t>
        </is>
      </c>
      <c r="E52" s="17" t="inlineStr">
        <is>
          <t>Condicionador Engrossador Encorpa Cabelo 300ml</t>
        </is>
      </c>
      <c r="F52" s="17" t="inlineStr">
        <is>
          <t>Acondicionador engrosador Encorpa Cabelo 300 ml</t>
        </is>
      </c>
      <c r="G52" s="17" t="inlineStr">
        <is>
          <t>Encorpa Cabelo</t>
        </is>
      </c>
      <c r="H52" s="17" t="inlineStr">
        <is>
          <t>Tratamentos Capilares</t>
        </is>
      </c>
      <c r="I52" s="17" t="inlineStr">
        <is>
          <t>Tratamientos capilares</t>
        </is>
      </c>
      <c r="J52" s="17" t="inlineStr">
        <is>
          <t>Volume para cabelo fino</t>
        </is>
      </c>
      <c r="K52" s="17" t="inlineStr">
        <is>
          <t>Volumen para cabello fino</t>
        </is>
      </c>
      <c r="L52" s="17" t="inlineStr">
        <is>
          <t>Condicionador</t>
        </is>
      </c>
      <c r="M52" s="17" t="inlineStr">
        <is>
          <t>Acondicionador</t>
        </is>
      </c>
      <c r="N52" s="17" t="inlineStr">
        <is>
          <t>300 ml</t>
        </is>
      </c>
      <c r="O52" s="17" t="n">
        <v>300</v>
      </c>
      <c r="P52" s="17" t="inlineStr">
        <is>
          <t>ml</t>
        </is>
      </c>
      <c r="Q52" s="18" t="n">
        <v>62.9</v>
      </c>
      <c r="R52" s="18" t="n"/>
      <c r="S52" s="19">
        <f>IF(ISBLANK(R52),0,IFERROR((Q52-R52)/Q52,0))</f>
        <v/>
      </c>
      <c r="T52" s="17">
        <f>R52&lt;&gt;""</f>
        <v/>
      </c>
      <c r="U52" s="17">
        <f>TRUE()</f>
        <v/>
      </c>
      <c r="V52" s="17" t="n"/>
      <c r="W52" s="17" t="inlineStr">
        <is>
          <t>Acondicionador de la linea Encorpa Cabelo que facilita el desenredado y sella la cuticula: aumenta el espesor aparente del cabello fino y con poco volumen, sin apelmazar.</t>
        </is>
      </c>
      <c r="X52" s="17" t="n"/>
      <c r="Y52" s="17" t="inlineStr">
        <is>
          <t>Facilita el desenredado | Sella la cuticula | Aporta suavidad y brillo</t>
        </is>
      </c>
      <c r="Z52" s="17" t="n"/>
      <c r="AA52" s="17" t="inlineStr">
        <is>
          <t>Acondicionador</t>
        </is>
      </c>
      <c r="AB52" s="17" t="n"/>
      <c r="AC52" s="17" t="inlineStr">
        <is>
          <t>Aplicar en el largo y las puntas del cabello despues del champu, dejar actuar unos minutos y enjuagar.</t>
        </is>
      </c>
      <c r="AD52" s="17" t="inlineStr">
        <is>
          <t>Acido hialuronico | Physalis</t>
        </is>
      </c>
      <c r="AE52" s="17" t="inlineStr">
        <is>
          <t>Acido hialuronico | Physalis</t>
        </is>
      </c>
      <c r="AF52" s="17" t="n"/>
      <c r="AG52" s="17" t="n"/>
      <c r="AH52" s="20" t="inlineStr">
        <is>
          <t>condicionador-engrossador-encorpa-cabelo-300ml.webp</t>
        </is>
      </c>
      <c r="AI52" s="17" t="n"/>
      <c r="AJ52" s="17" t="inlineStr">
        <is>
          <t>Cabello fino y con poco volumen</t>
        </is>
      </c>
      <c r="AK52" s="17" t="inlineStr">
        <is>
          <t>https://haskellcosmeticos.com.br/tratamentos-capilares/linha-encorpa-cabelo-haskell/</t>
        </is>
      </c>
      <c r="AL52" s="17" t="inlineStr">
        <is>
          <t>2026-07-24</t>
        </is>
      </c>
      <c r="AM52" s="21">
        <f>IF(ISBLANK(Q52),"",Q52*Parametros_PEN!$B$2)</f>
        <v/>
      </c>
      <c r="AN52" s="21">
        <f>IF(ISBLANK(Q52),"",Q52*Parametros_PEN!$B$2*(1+Parametros_PEN!$B$3))</f>
        <v/>
      </c>
      <c r="AO52" s="21">
        <f>IF(ISBLANK(R52),"",R52*Parametros_PEN!$B$2)</f>
        <v/>
      </c>
      <c r="AP52" s="21">
        <f>IF(ISBLANK(R52),"",R52*Parametros_PEN!$B$2*(1+Parametros_PEN!$B$3))</f>
        <v/>
      </c>
    </row>
    <row r="53" ht="46.25" customHeight="1" s="15">
      <c r="A53" s="17" t="inlineStr">
        <is>
          <t>HSK-0052</t>
        </is>
      </c>
      <c r="B53" s="17" t="inlineStr">
        <is>
          <t>mascarilla-engrosadora-encorpa-cabelo-300-g</t>
        </is>
      </c>
      <c r="C53" s="17" t="n"/>
      <c r="D53" s="17" t="inlineStr">
        <is>
          <t>Haskell</t>
        </is>
      </c>
      <c r="E53" s="17" t="inlineStr">
        <is>
          <t>Mascara Engrossadora Encorpa Cabelo 300g</t>
        </is>
      </c>
      <c r="F53" s="17" t="inlineStr">
        <is>
          <t>Mascarilla engrosadora Encorpa Cabelo 300 g</t>
        </is>
      </c>
      <c r="G53" s="17" t="inlineStr">
        <is>
          <t>Encorpa Cabelo</t>
        </is>
      </c>
      <c r="H53" s="17" t="inlineStr">
        <is>
          <t>Tratamentos Capilares</t>
        </is>
      </c>
      <c r="I53" s="17" t="inlineStr">
        <is>
          <t>Tratamientos capilares</t>
        </is>
      </c>
      <c r="J53" s="17" t="inlineStr">
        <is>
          <t>Volume para cabelo fino</t>
        </is>
      </c>
      <c r="K53" s="17" t="inlineStr">
        <is>
          <t>Volumen para cabello fino</t>
        </is>
      </c>
      <c r="L53" s="17" t="inlineStr">
        <is>
          <t>Mascara de Tratamento</t>
        </is>
      </c>
      <c r="M53" s="17" t="inlineStr">
        <is>
          <t>Mascarilla de tratamiento</t>
        </is>
      </c>
      <c r="N53" s="17" t="inlineStr">
        <is>
          <t>300 g</t>
        </is>
      </c>
      <c r="O53" s="17" t="n">
        <v>300</v>
      </c>
      <c r="P53" s="17" t="inlineStr">
        <is>
          <t>g</t>
        </is>
      </c>
      <c r="Q53" s="18" t="n">
        <v>74.90000000000001</v>
      </c>
      <c r="R53" s="18" t="n"/>
      <c r="S53" s="19">
        <f>IF(ISBLANK(R53),0,IFERROR((Q53-R53)/Q53,0))</f>
        <v/>
      </c>
      <c r="T53" s="17">
        <f>R53&lt;&gt;""</f>
        <v/>
      </c>
      <c r="U53" s="17">
        <f>TRUE()</f>
        <v/>
      </c>
      <c r="V53" s="17" t="n"/>
      <c r="W53" s="17" t="inlineStr">
        <is>
          <t>Mascarilla de tratamiento concentrada de la linea Encorpa Cabelo, de uso posterior al champu: aumenta el espesor aparente del cabello fino y con poco volumen, sin apelmazar.</t>
        </is>
      </c>
      <c r="X53" s="17" t="n"/>
      <c r="Y53" s="17" t="inlineStr">
        <is>
          <t>Tratamiento concentrado | Actua en profundidad sobre la fibra capilar | Refuerza el resultado de la linea</t>
        </is>
      </c>
      <c r="Z53" s="17" t="n"/>
      <c r="AA53" s="17" t="inlineStr">
        <is>
          <t>Tratamiento intensivo</t>
        </is>
      </c>
      <c r="AB53" s="17" t="n"/>
      <c r="AC53" s="17" t="inlineStr">
        <is>
          <t>Aplicar mechon por mechon despues del champu, dejar actuar de 3 a 5 minutos y enjuagar bien.</t>
        </is>
      </c>
      <c r="AD53" s="17" t="inlineStr">
        <is>
          <t>Acido hialuronico | Physalis</t>
        </is>
      </c>
      <c r="AE53" s="17" t="inlineStr">
        <is>
          <t>Acido hialuronico | Physalis</t>
        </is>
      </c>
      <c r="AF53" s="17" t="n"/>
      <c r="AG53" s="17" t="n"/>
      <c r="AH53" s="20" t="inlineStr">
        <is>
          <t>mascara-engrossadora-encorpa-cabelo-300g.webp</t>
        </is>
      </c>
      <c r="AI53" s="17" t="n"/>
      <c r="AJ53" s="17" t="inlineStr">
        <is>
          <t>Cabello fino y con poco volumen</t>
        </is>
      </c>
      <c r="AK53" s="17" t="inlineStr">
        <is>
          <t>https://haskellcosmeticos.com.br/tratamentos-capilares/linha-encorpa-cabelo-haskell/</t>
        </is>
      </c>
      <c r="AL53" s="17" t="inlineStr">
        <is>
          <t>2026-07-24</t>
        </is>
      </c>
      <c r="AM53" s="21">
        <f>IF(ISBLANK(Q53),"",Q53*Parametros_PEN!$B$2)</f>
        <v/>
      </c>
      <c r="AN53" s="21">
        <f>IF(ISBLANK(Q53),"",Q53*Parametros_PEN!$B$2*(1+Parametros_PEN!$B$3))</f>
        <v/>
      </c>
      <c r="AO53" s="21">
        <f>IF(ISBLANK(R53),"",R53*Parametros_PEN!$B$2)</f>
        <v/>
      </c>
      <c r="AP53" s="21">
        <f>IF(ISBLANK(R53),"",R53*Parametros_PEN!$B$2*(1+Parametros_PEN!$B$3))</f>
        <v/>
      </c>
    </row>
    <row r="54" ht="46.25" customHeight="1" s="15">
      <c r="A54" s="17" t="inlineStr">
        <is>
          <t>HSK-0053</t>
        </is>
      </c>
      <c r="B54" s="17" t="inlineStr">
        <is>
          <t>pomada-modeladora-encorpa-cabelo-150-g</t>
        </is>
      </c>
      <c r="C54" s="17" t="n"/>
      <c r="D54" s="17" t="inlineStr">
        <is>
          <t>Haskell</t>
        </is>
      </c>
      <c r="E54" s="17" t="inlineStr">
        <is>
          <t>Pomada Modeladora Encorpa Cabelo 150g</t>
        </is>
      </c>
      <c r="F54" s="17" t="inlineStr">
        <is>
          <t>Pomada modeladora Encorpa Cabelo 150 g</t>
        </is>
      </c>
      <c r="G54" s="17" t="inlineStr">
        <is>
          <t>Encorpa Cabelo</t>
        </is>
      </c>
      <c r="H54" s="17" t="inlineStr">
        <is>
          <t>Tratamentos Capilares</t>
        </is>
      </c>
      <c r="I54" s="17" t="inlineStr">
        <is>
          <t>Tratamientos capilares</t>
        </is>
      </c>
      <c r="J54" s="17" t="inlineStr">
        <is>
          <t>Volume para cabelo fino</t>
        </is>
      </c>
      <c r="K54" s="17" t="inlineStr">
        <is>
          <t>Volumen para cabello fino</t>
        </is>
      </c>
      <c r="L54" s="17" t="inlineStr">
        <is>
          <t>Pomada</t>
        </is>
      </c>
      <c r="M54" s="17" t="inlineStr">
        <is>
          <t>Pomada modeladora</t>
        </is>
      </c>
      <c r="N54" s="17" t="inlineStr">
        <is>
          <t>150 g</t>
        </is>
      </c>
      <c r="O54" s="17" t="n">
        <v>150</v>
      </c>
      <c r="P54" s="17" t="inlineStr">
        <is>
          <t>g</t>
        </is>
      </c>
      <c r="Q54" s="18" t="n">
        <v>60.9</v>
      </c>
      <c r="R54" s="18" t="n"/>
      <c r="S54" s="19">
        <f>IF(ISBLANK(R54),0,IFERROR((Q54-R54)/Q54,0))</f>
        <v/>
      </c>
      <c r="T54" s="17">
        <f>R54&lt;&gt;""</f>
        <v/>
      </c>
      <c r="U54" s="17">
        <f>TRUE()</f>
        <v/>
      </c>
      <c r="V54" s="17" t="n"/>
      <c r="W54" s="17" t="inlineStr">
        <is>
          <t>Pomada modeladora de la linea Encorpa Cabelo que fija y da forma al peinado: aumenta el espesor aparente del cabello fino y con poco volumen, sin apelmazar.</t>
        </is>
      </c>
      <c r="X54" s="17" t="n"/>
      <c r="Y54" s="17" t="inlineStr">
        <is>
          <t>Fija el peinado | Da forma y control | Textura maleable</t>
        </is>
      </c>
      <c r="Z54" s="17" t="n"/>
      <c r="AA54" s="17" t="inlineStr">
        <is>
          <t>Modelador</t>
        </is>
      </c>
      <c r="AB54" s="17" t="n"/>
      <c r="AC54" s="17" t="inlineStr">
        <is>
          <t>Tomar una pequena cantidad, calentar entre las manos y aplicar sobre el cabello seco para modelar.</t>
        </is>
      </c>
      <c r="AD54" s="17" t="inlineStr">
        <is>
          <t>Acido hialuronico | Physalis</t>
        </is>
      </c>
      <c r="AE54" s="17" t="inlineStr">
        <is>
          <t>Acido hialuronico | Physalis</t>
        </is>
      </c>
      <c r="AF54" s="17" t="n"/>
      <c r="AG54" s="17" t="n"/>
      <c r="AH54" s="20" t="inlineStr">
        <is>
          <t>pomada-modeladora-encorpa-cabelo-150g.webp</t>
        </is>
      </c>
      <c r="AI54" s="17" t="n"/>
      <c r="AJ54" s="17" t="inlineStr">
        <is>
          <t>Cabello fino y con poco volumen</t>
        </is>
      </c>
      <c r="AK54" s="17" t="inlineStr">
        <is>
          <t>https://haskellcosmeticos.com.br/tratamentos-capilares/linha-encorpa-cabelo-haskell/</t>
        </is>
      </c>
      <c r="AL54" s="17" t="inlineStr">
        <is>
          <t>2026-07-24</t>
        </is>
      </c>
      <c r="AM54" s="21">
        <f>IF(ISBLANK(Q54),"",Q54*Parametros_PEN!$B$2)</f>
        <v/>
      </c>
      <c r="AN54" s="21">
        <f>IF(ISBLANK(Q54),"",Q54*Parametros_PEN!$B$2*(1+Parametros_PEN!$B$3))</f>
        <v/>
      </c>
      <c r="AO54" s="21">
        <f>IF(ISBLANK(R54),"",R54*Parametros_PEN!$B$2)</f>
        <v/>
      </c>
      <c r="AP54" s="21">
        <f>IF(ISBLANK(R54),"",R54*Parametros_PEN!$B$2*(1+Parametros_PEN!$B$3))</f>
        <v/>
      </c>
    </row>
    <row r="55" ht="46.25" customHeight="1" s="15">
      <c r="A55" s="17" t="inlineStr">
        <is>
          <t>HSK-0054</t>
        </is>
      </c>
      <c r="B55" s="17" t="inlineStr">
        <is>
          <t>champu-engrosador-encorpa-cabelo-500-ml</t>
        </is>
      </c>
      <c r="C55" s="17" t="n"/>
      <c r="D55" s="17" t="inlineStr">
        <is>
          <t>Haskell</t>
        </is>
      </c>
      <c r="E55" s="17" t="inlineStr">
        <is>
          <t>Shampoo Engrossador Encorpa Cabelo 500ml</t>
        </is>
      </c>
      <c r="F55" s="17" t="inlineStr">
        <is>
          <t>Champu engrosador Encorpa Cabelo 500 ml</t>
        </is>
      </c>
      <c r="G55" s="17" t="inlineStr">
        <is>
          <t>Encorpa Cabelo</t>
        </is>
      </c>
      <c r="H55" s="17" t="inlineStr">
        <is>
          <t>Tratamentos Capilares</t>
        </is>
      </c>
      <c r="I55" s="17" t="inlineStr">
        <is>
          <t>Tratamientos capilares</t>
        </is>
      </c>
      <c r="J55" s="17" t="inlineStr">
        <is>
          <t>Volume para cabelo fino</t>
        </is>
      </c>
      <c r="K55" s="17" t="inlineStr">
        <is>
          <t>Volumen para cabello fino</t>
        </is>
      </c>
      <c r="L55" s="17" t="inlineStr">
        <is>
          <t>Shampoo</t>
        </is>
      </c>
      <c r="M55" s="17" t="inlineStr">
        <is>
          <t>Champu</t>
        </is>
      </c>
      <c r="N55" s="17" t="inlineStr">
        <is>
          <t>500 ml</t>
        </is>
      </c>
      <c r="O55" s="17" t="n">
        <v>500</v>
      </c>
      <c r="P55" s="17" t="inlineStr">
        <is>
          <t>ml</t>
        </is>
      </c>
      <c r="Q55" s="18" t="n">
        <v>84.90000000000001</v>
      </c>
      <c r="R55" s="18" t="n"/>
      <c r="S55" s="19">
        <f>IF(ISBLANK(R55),0,IFERROR((Q55-R55)/Q55,0))</f>
        <v/>
      </c>
      <c r="T55" s="17">
        <f>R55&lt;&gt;""</f>
        <v/>
      </c>
      <c r="U55" s="17">
        <f>TRUE()</f>
        <v/>
      </c>
      <c r="V55" s="17" t="n"/>
      <c r="W55" s="17" t="inlineStr">
        <is>
          <t>Champu de limpieza suave de la linea Encorpa Cabelo, que prepara el cabello para el tratamiento: aumenta el espesor aparente del cabello fino y con poco volumen, sin apelmazar.</t>
        </is>
      </c>
      <c r="X55" s="17" t="n"/>
      <c r="Y55" s="17" t="inlineStr">
        <is>
          <t>Limpieza suave sin resecar | Prepara el cabello para el resto de la rutina | Respeta el equilibrio del cuero cabelludo</t>
        </is>
      </c>
      <c r="Z55" s="17" t="n"/>
      <c r="AA55" s="17" t="inlineStr">
        <is>
          <t>Limpiador suave</t>
        </is>
      </c>
      <c r="AB55" s="17" t="n"/>
      <c r="AC55" s="17" t="inlineStr">
        <is>
          <t>Aplicar sobre el cabello mojado, masajear el cuero cabelludo con movimientos suaves y enjuagar bien.</t>
        </is>
      </c>
      <c r="AD55" s="17" t="inlineStr">
        <is>
          <t>Acido hialuronico | Physalis</t>
        </is>
      </c>
      <c r="AE55" s="17" t="inlineStr">
        <is>
          <t>Acido hialuronico | Physalis</t>
        </is>
      </c>
      <c r="AF55" s="17" t="n"/>
      <c r="AG55" s="17" t="n"/>
      <c r="AH55" s="20" t="inlineStr">
        <is>
          <t>shampoo-engrossador-encorpa-cabelo-500ml.webp</t>
        </is>
      </c>
      <c r="AI55" s="17" t="n"/>
      <c r="AJ55" s="17" t="inlineStr">
        <is>
          <t>Cabello fino y con poco volumen</t>
        </is>
      </c>
      <c r="AK55" s="17" t="inlineStr">
        <is>
          <t>https://haskellcosmeticos.com.br/tratamentos-capilares/linha-encorpa-cabelo-haskell/</t>
        </is>
      </c>
      <c r="AL55" s="17" t="inlineStr">
        <is>
          <t>2026-07-24</t>
        </is>
      </c>
      <c r="AM55" s="21">
        <f>IF(ISBLANK(Q55),"",Q55*Parametros_PEN!$B$2)</f>
        <v/>
      </c>
      <c r="AN55" s="21">
        <f>IF(ISBLANK(Q55),"",Q55*Parametros_PEN!$B$2*(1+Parametros_PEN!$B$3))</f>
        <v/>
      </c>
      <c r="AO55" s="21">
        <f>IF(ISBLANK(R55),"",R55*Parametros_PEN!$B$2)</f>
        <v/>
      </c>
      <c r="AP55" s="21">
        <f>IF(ISBLANK(R55),"",R55*Parametros_PEN!$B$2*(1+Parametros_PEN!$B$3))</f>
        <v/>
      </c>
    </row>
    <row r="56" ht="46.25" customHeight="1" s="15">
      <c r="A56" s="17" t="inlineStr">
        <is>
          <t>HSK-0055</t>
        </is>
      </c>
      <c r="B56" s="17" t="inlineStr">
        <is>
          <t>acondicionador-engrosador-encorpa-cabelo-500-ml</t>
        </is>
      </c>
      <c r="C56" s="17" t="n"/>
      <c r="D56" s="17" t="inlineStr">
        <is>
          <t>Haskell</t>
        </is>
      </c>
      <c r="E56" s="17" t="inlineStr">
        <is>
          <t>Condicionador Engrossador Encorpa Cabelo 500ml</t>
        </is>
      </c>
      <c r="F56" s="17" t="inlineStr">
        <is>
          <t>Acondicionador engrosador Encorpa Cabelo 500 ml</t>
        </is>
      </c>
      <c r="G56" s="17" t="inlineStr">
        <is>
          <t>Encorpa Cabelo</t>
        </is>
      </c>
      <c r="H56" s="17" t="inlineStr">
        <is>
          <t>Tratamentos Capilares</t>
        </is>
      </c>
      <c r="I56" s="17" t="inlineStr">
        <is>
          <t>Tratamientos capilares</t>
        </is>
      </c>
      <c r="J56" s="17" t="inlineStr">
        <is>
          <t>Volume para cabelo fino</t>
        </is>
      </c>
      <c r="K56" s="17" t="inlineStr">
        <is>
          <t>Volumen para cabello fino</t>
        </is>
      </c>
      <c r="L56" s="17" t="inlineStr">
        <is>
          <t>Condicionador</t>
        </is>
      </c>
      <c r="M56" s="17" t="inlineStr">
        <is>
          <t>Acondicionador</t>
        </is>
      </c>
      <c r="N56" s="17" t="inlineStr">
        <is>
          <t>500 ml</t>
        </is>
      </c>
      <c r="O56" s="17" t="n">
        <v>500</v>
      </c>
      <c r="P56" s="17" t="inlineStr">
        <is>
          <t>ml</t>
        </is>
      </c>
      <c r="Q56" s="18" t="n">
        <v>84.90000000000001</v>
      </c>
      <c r="R56" s="18" t="n"/>
      <c r="S56" s="19">
        <f>IF(ISBLANK(R56),0,IFERROR((Q56-R56)/Q56,0))</f>
        <v/>
      </c>
      <c r="T56" s="17">
        <f>R56&lt;&gt;""</f>
        <v/>
      </c>
      <c r="U56" s="17">
        <f>TRUE()</f>
        <v/>
      </c>
      <c r="V56" s="17" t="n"/>
      <c r="W56" s="17" t="inlineStr">
        <is>
          <t>Acondicionador de la linea Encorpa Cabelo que facilita el desenredado y sella la cuticula: aumenta el espesor aparente del cabello fino y con poco volumen, sin apelmazar.</t>
        </is>
      </c>
      <c r="X56" s="17" t="n"/>
      <c r="Y56" s="17" t="inlineStr">
        <is>
          <t>Facilita el desenredado | Sella la cuticula | Aporta suavidad y brillo</t>
        </is>
      </c>
      <c r="Z56" s="17" t="n"/>
      <c r="AA56" s="17" t="inlineStr">
        <is>
          <t>Acondicionador</t>
        </is>
      </c>
      <c r="AB56" s="17" t="n"/>
      <c r="AC56" s="17" t="inlineStr">
        <is>
          <t>Aplicar en el largo y las puntas del cabello despues del champu, dejar actuar unos minutos y enjuagar.</t>
        </is>
      </c>
      <c r="AD56" s="17" t="inlineStr">
        <is>
          <t>Acido hialuronico | Physalis</t>
        </is>
      </c>
      <c r="AE56" s="17" t="inlineStr">
        <is>
          <t>Acido hialuronico | Physalis</t>
        </is>
      </c>
      <c r="AF56" s="17" t="n"/>
      <c r="AG56" s="17" t="n"/>
      <c r="AH56" s="20" t="inlineStr">
        <is>
          <t>condicionador-engrossador-encorpa-cabelo-500ml.webp</t>
        </is>
      </c>
      <c r="AI56" s="17" t="n"/>
      <c r="AJ56" s="17" t="inlineStr">
        <is>
          <t>Cabello fino y con poco volumen</t>
        </is>
      </c>
      <c r="AK56" s="17" t="inlineStr">
        <is>
          <t>https://haskellcosmeticos.com.br/tratamentos-capilares/linha-encorpa-cabelo-haskell/</t>
        </is>
      </c>
      <c r="AL56" s="17" t="inlineStr">
        <is>
          <t>2026-07-24</t>
        </is>
      </c>
      <c r="AM56" s="21">
        <f>IF(ISBLANK(Q56),"",Q56*Parametros_PEN!$B$2)</f>
        <v/>
      </c>
      <c r="AN56" s="21">
        <f>IF(ISBLANK(Q56),"",Q56*Parametros_PEN!$B$2*(1+Parametros_PEN!$B$3))</f>
        <v/>
      </c>
      <c r="AO56" s="21">
        <f>IF(ISBLANK(R56),"",R56*Parametros_PEN!$B$2)</f>
        <v/>
      </c>
      <c r="AP56" s="21">
        <f>IF(ISBLANK(R56),"",R56*Parametros_PEN!$B$2*(1+Parametros_PEN!$B$3))</f>
        <v/>
      </c>
    </row>
    <row r="57" ht="46.25" customHeight="1" s="15">
      <c r="A57" s="17" t="inlineStr">
        <is>
          <t>HSK-0056</t>
        </is>
      </c>
      <c r="B57" s="17" t="inlineStr">
        <is>
          <t>champu-anticaspa-pra-eles-250-ml</t>
        </is>
      </c>
      <c r="C57" s="17" t="n"/>
      <c r="D57" s="17" t="inlineStr">
        <is>
          <t>Haskell</t>
        </is>
      </c>
      <c r="E57" s="17" t="inlineStr">
        <is>
          <t>Shampoo Anticaspa Pra Eles 250ml</t>
        </is>
      </c>
      <c r="F57" s="17" t="inlineStr">
        <is>
          <t>Champu anticaspa Pra Eles 250 ml</t>
        </is>
      </c>
      <c r="G57" s="17" t="inlineStr">
        <is>
          <t>Pra Eles (H)</t>
        </is>
      </c>
      <c r="H57" s="17" t="inlineStr">
        <is>
          <t>Tratamentos Capilares</t>
        </is>
      </c>
      <c r="I57" s="17" t="inlineStr">
        <is>
          <t>Tratamientos capilares</t>
        </is>
      </c>
      <c r="J57" s="17" t="inlineStr">
        <is>
          <t>Linha masculina</t>
        </is>
      </c>
      <c r="K57" s="17" t="inlineStr">
        <is>
          <t>Linea masculina</t>
        </is>
      </c>
      <c r="L57" s="17" t="inlineStr">
        <is>
          <t>Shampoo</t>
        </is>
      </c>
      <c r="M57" s="17" t="inlineStr">
        <is>
          <t>Champu</t>
        </is>
      </c>
      <c r="N57" s="17" t="inlineStr">
        <is>
          <t>250 ml</t>
        </is>
      </c>
      <c r="O57" s="17" t="n">
        <v>250</v>
      </c>
      <c r="P57" s="17" t="inlineStr">
        <is>
          <t>ml</t>
        </is>
      </c>
      <c r="Q57" s="18" t="n">
        <v>53.9</v>
      </c>
      <c r="R57" s="18" t="n"/>
      <c r="S57" s="19">
        <f>IF(ISBLANK(R57),0,IFERROR((Q57-R57)/Q57,0))</f>
        <v/>
      </c>
      <c r="T57" s="17">
        <f>R57&lt;&gt;""</f>
        <v/>
      </c>
      <c r="U57" s="17">
        <f>TRUE()</f>
        <v/>
      </c>
      <c r="V57" s="17" t="n"/>
      <c r="W57" s="17" t="inlineStr">
        <is>
          <t>Champu de limpieza suave de la linea Pra Eles (H), que prepara el cabello para el tratamiento: cuida el cabello y la barba con una rutina practica pensada para el publico masculino.</t>
        </is>
      </c>
      <c r="X57" s="17" t="n"/>
      <c r="Y57" s="17" t="inlineStr">
        <is>
          <t>Limpieza suave sin resecar | Prepara el cabello para el resto de la rutina | Respeta el equilibrio del cuero cabelludo</t>
        </is>
      </c>
      <c r="Z57" s="17" t="n"/>
      <c r="AA57" s="17" t="inlineStr">
        <is>
          <t>Limpiador suave</t>
        </is>
      </c>
      <c r="AB57" s="17" t="n"/>
      <c r="AC57" s="17" t="inlineStr">
        <is>
          <t>Aplicar sobre el cabello mojado, masajear el cuero cabelludo con movimientos suaves y enjuagar bien.</t>
        </is>
      </c>
      <c r="AD57" s="17" t="n"/>
      <c r="AE57" s="17" t="n"/>
      <c r="AF57" s="17" t="n"/>
      <c r="AG57" s="17" t="n"/>
      <c r="AH57" s="20" t="inlineStr">
        <is>
          <t>shampoo-anticaspa-pra-eles-250ml.webp</t>
        </is>
      </c>
      <c r="AI57" s="17" t="n"/>
      <c r="AJ57" s="17" t="inlineStr">
        <is>
          <t>Cabello y barba masculinos</t>
        </is>
      </c>
      <c r="AK57" s="17" t="inlineStr">
        <is>
          <t>https://haskellcosmeticos.com.br/tratamentos-capilares/linha-h-haskell/</t>
        </is>
      </c>
      <c r="AL57" s="17" t="inlineStr">
        <is>
          <t>2026-07-24</t>
        </is>
      </c>
      <c r="AM57" s="21">
        <f>IF(ISBLANK(Q57),"",Q57*Parametros_PEN!$B$2)</f>
        <v/>
      </c>
      <c r="AN57" s="21">
        <f>IF(ISBLANK(Q57),"",Q57*Parametros_PEN!$B$2*(1+Parametros_PEN!$B$3))</f>
        <v/>
      </c>
      <c r="AO57" s="21">
        <f>IF(ISBLANK(R57),"",R57*Parametros_PEN!$B$2)</f>
        <v/>
      </c>
      <c r="AP57" s="21">
        <f>IF(ISBLANK(R57),"",R57*Parametros_PEN!$B$2*(1+Parametros_PEN!$B$3))</f>
        <v/>
      </c>
    </row>
    <row r="58" ht="46.25" customHeight="1" s="15">
      <c r="A58" s="17" t="inlineStr">
        <is>
          <t>HSK-0057</t>
        </is>
      </c>
      <c r="B58" s="17" t="inlineStr">
        <is>
          <t>champu-cabello-y-barba-pra-eles-250-ml</t>
        </is>
      </c>
      <c r="C58" s="17" t="n"/>
      <c r="D58" s="17" t="inlineStr">
        <is>
          <t>Haskell</t>
        </is>
      </c>
      <c r="E58" s="17" t="inlineStr">
        <is>
          <t>Shampoo Cabelo &amp; Barba Pra Eles 250ml</t>
        </is>
      </c>
      <c r="F58" s="17" t="inlineStr">
        <is>
          <t>Champu cabello y barba Pra Eles 250 ml</t>
        </is>
      </c>
      <c r="G58" s="17" t="inlineStr">
        <is>
          <t>Pra Eles (H)</t>
        </is>
      </c>
      <c r="H58" s="17" t="inlineStr">
        <is>
          <t>Tratamentos Capilares</t>
        </is>
      </c>
      <c r="I58" s="17" t="inlineStr">
        <is>
          <t>Tratamientos capilares</t>
        </is>
      </c>
      <c r="J58" s="17" t="inlineStr">
        <is>
          <t>Linha masculina</t>
        </is>
      </c>
      <c r="K58" s="17" t="inlineStr">
        <is>
          <t>Linea masculina</t>
        </is>
      </c>
      <c r="L58" s="17" t="inlineStr">
        <is>
          <t>Shampoo</t>
        </is>
      </c>
      <c r="M58" s="17" t="inlineStr">
        <is>
          <t>Champu</t>
        </is>
      </c>
      <c r="N58" s="17" t="inlineStr">
        <is>
          <t>250 ml</t>
        </is>
      </c>
      <c r="O58" s="17" t="n">
        <v>250</v>
      </c>
      <c r="P58" s="17" t="inlineStr">
        <is>
          <t>ml</t>
        </is>
      </c>
      <c r="Q58" s="18" t="n">
        <v>46.9</v>
      </c>
      <c r="R58" s="18" t="n"/>
      <c r="S58" s="19">
        <f>IF(ISBLANK(R58),0,IFERROR((Q58-R58)/Q58,0))</f>
        <v/>
      </c>
      <c r="T58" s="17">
        <f>R58&lt;&gt;""</f>
        <v/>
      </c>
      <c r="U58" s="17">
        <f>TRUE()</f>
        <v/>
      </c>
      <c r="V58" s="17" t="n"/>
      <c r="W58" s="17" t="inlineStr">
        <is>
          <t>Champu de limpieza suave de la linea Pra Eles (H), que prepara el cabello para el tratamiento: cuida el cabello y la barba con una rutina practica pensada para el publico masculino.</t>
        </is>
      </c>
      <c r="X58" s="17" t="n"/>
      <c r="Y58" s="17" t="inlineStr">
        <is>
          <t>Limpieza suave sin resecar | Prepara el cabello para el resto de la rutina | Respeta el equilibrio del cuero cabelludo</t>
        </is>
      </c>
      <c r="Z58" s="17" t="n"/>
      <c r="AA58" s="17" t="inlineStr">
        <is>
          <t>Limpiador suave</t>
        </is>
      </c>
      <c r="AB58" s="17" t="n"/>
      <c r="AC58" s="17" t="inlineStr">
        <is>
          <t>Aplicar sobre el cabello mojado, masajear el cuero cabelludo con movimientos suaves y enjuagar bien.</t>
        </is>
      </c>
      <c r="AD58" s="17" t="n"/>
      <c r="AE58" s="17" t="n"/>
      <c r="AF58" s="17" t="n"/>
      <c r="AG58" s="17" t="n"/>
      <c r="AH58" s="20" t="inlineStr">
        <is>
          <t>shampoo-cabelo-barba-pra-eles-250ml.webp</t>
        </is>
      </c>
      <c r="AI58" s="17" t="n"/>
      <c r="AJ58" s="17" t="inlineStr">
        <is>
          <t>Cabello y barba masculinos</t>
        </is>
      </c>
      <c r="AK58" s="17" t="inlineStr">
        <is>
          <t>https://haskellcosmeticos.com.br/tratamentos-capilares/linha-h-haskell/</t>
        </is>
      </c>
      <c r="AL58" s="17" t="inlineStr">
        <is>
          <t>2026-07-24</t>
        </is>
      </c>
      <c r="AM58" s="21">
        <f>IF(ISBLANK(Q58),"",Q58*Parametros_PEN!$B$2)</f>
        <v/>
      </c>
      <c r="AN58" s="21">
        <f>IF(ISBLANK(Q58),"",Q58*Parametros_PEN!$B$2*(1+Parametros_PEN!$B$3))</f>
        <v/>
      </c>
      <c r="AO58" s="21">
        <f>IF(ISBLANK(R58),"",R58*Parametros_PEN!$B$2)</f>
        <v/>
      </c>
      <c r="AP58" s="21">
        <f>IF(ISBLANK(R58),"",R58*Parametros_PEN!$B$2*(1+Parametros_PEN!$B$3))</f>
        <v/>
      </c>
    </row>
    <row r="59" ht="35.05" customHeight="1" s="15">
      <c r="A59" s="17" t="inlineStr">
        <is>
          <t>HSK-0058</t>
        </is>
      </c>
      <c r="B59" s="17" t="inlineStr">
        <is>
          <t>crema-multifunciones-pra-eles-150-g</t>
        </is>
      </c>
      <c r="C59" s="17" t="n"/>
      <c r="D59" s="17" t="inlineStr">
        <is>
          <t>Haskell</t>
        </is>
      </c>
      <c r="E59" s="17" t="inlineStr">
        <is>
          <t>Creme Multifuncoes Pra Eles 150g</t>
        </is>
      </c>
      <c r="F59" s="17" t="inlineStr">
        <is>
          <t>Crema multifunciones Pra Eles 150 g</t>
        </is>
      </c>
      <c r="G59" s="17" t="inlineStr">
        <is>
          <t>Pra Eles (H)</t>
        </is>
      </c>
      <c r="H59" s="17" t="inlineStr">
        <is>
          <t>Tratamentos Capilares</t>
        </is>
      </c>
      <c r="I59" s="17" t="inlineStr">
        <is>
          <t>Tratamientos capilares</t>
        </is>
      </c>
      <c r="J59" s="17" t="inlineStr">
        <is>
          <t>Linha masculina</t>
        </is>
      </c>
      <c r="K59" s="17" t="inlineStr">
        <is>
          <t>Linea masculina</t>
        </is>
      </c>
      <c r="L59" s="17" t="inlineStr">
        <is>
          <t>Creme</t>
        </is>
      </c>
      <c r="M59" s="17" t="inlineStr">
        <is>
          <t>Crema</t>
        </is>
      </c>
      <c r="N59" s="17" t="inlineStr">
        <is>
          <t>150 g</t>
        </is>
      </c>
      <c r="O59" s="17" t="n">
        <v>150</v>
      </c>
      <c r="P59" s="17" t="inlineStr">
        <is>
          <t>g</t>
        </is>
      </c>
      <c r="Q59" s="18" t="n">
        <v>52.9</v>
      </c>
      <c r="R59" s="18" t="n"/>
      <c r="S59" s="19">
        <f>IF(ISBLANK(R59),0,IFERROR((Q59-R59)/Q59,0))</f>
        <v/>
      </c>
      <c r="T59" s="17">
        <f>R59&lt;&gt;""</f>
        <v/>
      </c>
      <c r="U59" s="17">
        <f>TRUE()</f>
        <v/>
      </c>
      <c r="V59" s="17" t="n"/>
      <c r="W59" s="17" t="inlineStr">
        <is>
          <t>Crema de la linea Pra Eles (H): cuida el cabello y la barba con una rutina practica pensada para el publico masculino.</t>
        </is>
      </c>
      <c r="X59" s="17" t="n"/>
      <c r="Y59" s="17" t="inlineStr">
        <is>
          <t>Facilita el peinado | Hidrata y da forma segun el uso</t>
        </is>
      </c>
      <c r="Z59" s="17" t="n"/>
      <c r="AA59" s="17" t="inlineStr">
        <is>
          <t>Multifuncion</t>
        </is>
      </c>
      <c r="AB59" s="17" t="n"/>
      <c r="AC59" s="17" t="inlineStr">
        <is>
          <t>Aplicar sobre el cabello humedo o seco, segun la necesidad, y finalizar como se prefiera.</t>
        </is>
      </c>
      <c r="AD59" s="17" t="n"/>
      <c r="AE59" s="17" t="n"/>
      <c r="AF59" s="17" t="n"/>
      <c r="AG59" s="17" t="n"/>
      <c r="AH59" s="20" t="inlineStr">
        <is>
          <t>creme-multifuncoes-pra-eles-150g.webp</t>
        </is>
      </c>
      <c r="AI59" s="17" t="n"/>
      <c r="AJ59" s="17" t="inlineStr">
        <is>
          <t>Cabello y barba masculinos</t>
        </is>
      </c>
      <c r="AK59" s="17" t="inlineStr">
        <is>
          <t>https://haskellcosmeticos.com.br/tratamentos-capilares/linha-h-haskell/</t>
        </is>
      </c>
      <c r="AL59" s="17" t="inlineStr">
        <is>
          <t>2026-07-24</t>
        </is>
      </c>
      <c r="AM59" s="21">
        <f>IF(ISBLANK(Q59),"",Q59*Parametros_PEN!$B$2)</f>
        <v/>
      </c>
      <c r="AN59" s="21">
        <f>IF(ISBLANK(Q59),"",Q59*Parametros_PEN!$B$2*(1+Parametros_PEN!$B$3))</f>
        <v/>
      </c>
      <c r="AO59" s="21">
        <f>IF(ISBLANK(R59),"",R59*Parametros_PEN!$B$2)</f>
        <v/>
      </c>
      <c r="AP59" s="21">
        <f>IF(ISBLANK(R59),"",R59*Parametros_PEN!$B$2*(1+Parametros_PEN!$B$3))</f>
        <v/>
      </c>
    </row>
    <row r="60" ht="35.05" customHeight="1" s="15">
      <c r="A60" s="17" t="inlineStr">
        <is>
          <t>HSK-0059</t>
        </is>
      </c>
      <c r="B60" s="17" t="inlineStr">
        <is>
          <t>pomada-modeladora-pra-eles-55-g</t>
        </is>
      </c>
      <c r="C60" s="17" t="n"/>
      <c r="D60" s="17" t="inlineStr">
        <is>
          <t>Haskell</t>
        </is>
      </c>
      <c r="E60" s="17" t="inlineStr">
        <is>
          <t>Pomada Modeladora Pra Eles 55g</t>
        </is>
      </c>
      <c r="F60" s="17" t="inlineStr">
        <is>
          <t>Pomada modeladora Pra Eles 55 g</t>
        </is>
      </c>
      <c r="G60" s="17" t="inlineStr">
        <is>
          <t>Pra Eles (H)</t>
        </is>
      </c>
      <c r="H60" s="17" t="inlineStr">
        <is>
          <t>Tratamentos Capilares</t>
        </is>
      </c>
      <c r="I60" s="17" t="inlineStr">
        <is>
          <t>Tratamientos capilares</t>
        </is>
      </c>
      <c r="J60" s="17" t="inlineStr">
        <is>
          <t>Linha masculina</t>
        </is>
      </c>
      <c r="K60" s="17" t="inlineStr">
        <is>
          <t>Linea masculina</t>
        </is>
      </c>
      <c r="L60" s="17" t="inlineStr">
        <is>
          <t>Pomada</t>
        </is>
      </c>
      <c r="M60" s="17" t="inlineStr">
        <is>
          <t>Pomada modeladora</t>
        </is>
      </c>
      <c r="N60" s="17" t="inlineStr">
        <is>
          <t>55 g</t>
        </is>
      </c>
      <c r="O60" s="17" t="n">
        <v>55</v>
      </c>
      <c r="P60" s="17" t="inlineStr">
        <is>
          <t>g</t>
        </is>
      </c>
      <c r="Q60" s="18" t="n">
        <v>68.90000000000001</v>
      </c>
      <c r="R60" s="18" t="n"/>
      <c r="S60" s="19">
        <f>IF(ISBLANK(R60),0,IFERROR((Q60-R60)/Q60,0))</f>
        <v/>
      </c>
      <c r="T60" s="17">
        <f>R60&lt;&gt;""</f>
        <v/>
      </c>
      <c r="U60" s="17">
        <f>TRUE()</f>
        <v/>
      </c>
      <c r="V60" s="17" t="n"/>
      <c r="W60" s="17" t="inlineStr">
        <is>
          <t>Pomada modeladora de la linea Pra Eles (H) que fija y da forma al peinado: cuida el cabello y la barba con una rutina practica pensada para el publico masculino.</t>
        </is>
      </c>
      <c r="X60" s="17" t="n"/>
      <c r="Y60" s="17" t="inlineStr">
        <is>
          <t>Fija el peinado | Da forma y control | Textura maleable</t>
        </is>
      </c>
      <c r="Z60" s="17" t="n"/>
      <c r="AA60" s="17" t="inlineStr">
        <is>
          <t>Modelador</t>
        </is>
      </c>
      <c r="AB60" s="17" t="n"/>
      <c r="AC60" s="17" t="inlineStr">
        <is>
          <t>Tomar una pequena cantidad, calentar entre las manos y aplicar sobre el cabello seco para modelar.</t>
        </is>
      </c>
      <c r="AD60" s="17" t="n"/>
      <c r="AE60" s="17" t="n"/>
      <c r="AF60" s="17" t="n"/>
      <c r="AG60" s="17" t="n"/>
      <c r="AH60" s="20" t="inlineStr">
        <is>
          <t>pomada-modeladora-pra-eles-55g.webp</t>
        </is>
      </c>
      <c r="AI60" s="17" t="n"/>
      <c r="AJ60" s="17" t="inlineStr">
        <is>
          <t>Cabello y barba masculinos</t>
        </is>
      </c>
      <c r="AK60" s="17" t="inlineStr">
        <is>
          <t>https://haskellcosmeticos.com.br/tratamentos-capilares/linha-h-haskell/</t>
        </is>
      </c>
      <c r="AL60" s="17" t="inlineStr">
        <is>
          <t>2026-07-24</t>
        </is>
      </c>
      <c r="AM60" s="21">
        <f>IF(ISBLANK(Q60),"",Q60*Parametros_PEN!$B$2)</f>
        <v/>
      </c>
      <c r="AN60" s="21">
        <f>IF(ISBLANK(Q60),"",Q60*Parametros_PEN!$B$2*(1+Parametros_PEN!$B$3))</f>
        <v/>
      </c>
      <c r="AO60" s="21">
        <f>IF(ISBLANK(R60),"",R60*Parametros_PEN!$B$2)</f>
        <v/>
      </c>
      <c r="AP60" s="21">
        <f>IF(ISBLANK(R60),"",R60*Parametros_PEN!$B$2*(1+Parametros_PEN!$B$3))</f>
        <v/>
      </c>
    </row>
    <row r="61" ht="46.25" customHeight="1" s="15">
      <c r="A61" s="17" t="inlineStr">
        <is>
          <t>HSK-0060</t>
        </is>
      </c>
      <c r="B61" s="17" t="inlineStr">
        <is>
          <t>champu-hidranutre-300-ml</t>
        </is>
      </c>
      <c r="C61" s="17" t="n"/>
      <c r="D61" s="17" t="inlineStr">
        <is>
          <t>Haskell</t>
        </is>
      </c>
      <c r="E61" s="17" t="inlineStr">
        <is>
          <t>Shampoo Hidranutre 300ml</t>
        </is>
      </c>
      <c r="F61" s="17" t="inlineStr">
        <is>
          <t>Champu Hidranutre 300 ml</t>
        </is>
      </c>
      <c r="G61" s="17" t="inlineStr">
        <is>
          <t>Hidranutre</t>
        </is>
      </c>
      <c r="H61" s="17" t="inlineStr">
        <is>
          <t>Tratamentos Capilares</t>
        </is>
      </c>
      <c r="I61" s="17" t="inlineStr">
        <is>
          <t>Tratamientos capilares</t>
        </is>
      </c>
      <c r="J61" s="17" t="inlineStr">
        <is>
          <t>Hidratacao e nutricao combinadas</t>
        </is>
      </c>
      <c r="K61" s="17" t="inlineStr">
        <is>
          <t>Hidratacion y nutricion combinadas</t>
        </is>
      </c>
      <c r="L61" s="17" t="inlineStr">
        <is>
          <t>Shampoo</t>
        </is>
      </c>
      <c r="M61" s="17" t="inlineStr">
        <is>
          <t>Champu</t>
        </is>
      </c>
      <c r="N61" s="17" t="inlineStr">
        <is>
          <t>300 ml</t>
        </is>
      </c>
      <c r="O61" s="17" t="n">
        <v>300</v>
      </c>
      <c r="P61" s="17" t="inlineStr">
        <is>
          <t>ml</t>
        </is>
      </c>
      <c r="Q61" s="18" t="n">
        <v>62.9</v>
      </c>
      <c r="R61" s="18" t="n"/>
      <c r="S61" s="19">
        <f>IF(ISBLANK(R61),0,IFERROR((Q61-R61)/Q61,0))</f>
        <v/>
      </c>
      <c r="T61" s="17">
        <f>R61&lt;&gt;""</f>
        <v/>
      </c>
      <c r="U61" s="17">
        <f>TRUE()</f>
        <v/>
      </c>
      <c r="V61" s="17" t="n"/>
      <c r="W61" s="17" t="inlineStr">
        <is>
          <t>Champu de limpieza suave de la linea Hidranutre, que prepara el cabello para el tratamiento: combina hidratacion y nutricion en una sola rutina, ideal para quien busca practicidad.</t>
        </is>
      </c>
      <c r="X61" s="17" t="n"/>
      <c r="Y61" s="17" t="inlineStr">
        <is>
          <t>Limpieza suave sin resecar | Prepara el cabello para el resto de la rutina | Respeta el equilibrio del cuero cabelludo</t>
        </is>
      </c>
      <c r="Z61" s="17" t="n"/>
      <c r="AA61" s="17" t="inlineStr">
        <is>
          <t>Limpiador suave</t>
        </is>
      </c>
      <c r="AB61" s="17" t="n"/>
      <c r="AC61" s="17" t="inlineStr">
        <is>
          <t>Aplicar sobre el cabello mojado, masajear el cuero cabelludo con movimientos suaves y enjuagar bien.</t>
        </is>
      </c>
      <c r="AD61" s="17" t="inlineStr">
        <is>
          <t>Cana-de-acucar | Oleo de ricino</t>
        </is>
      </c>
      <c r="AE61" s="17" t="inlineStr">
        <is>
          <t>Cana de azucar | Aceite de ricino</t>
        </is>
      </c>
      <c r="AF61" s="17" t="n"/>
      <c r="AG61" s="17" t="n"/>
      <c r="AH61" s="20" t="inlineStr">
        <is>
          <t>shampoo-hidranutre-300ml.webp</t>
        </is>
      </c>
      <c r="AI61" s="17" t="n"/>
      <c r="AJ61" s="17" t="inlineStr">
        <is>
          <t>Todo tipo de cabello</t>
        </is>
      </c>
      <c r="AK61" s="17" t="inlineStr">
        <is>
          <t>https://haskellcosmeticos.com.br/tratamentos-capilares/hidranutre/</t>
        </is>
      </c>
      <c r="AL61" s="17" t="inlineStr">
        <is>
          <t>2026-07-24</t>
        </is>
      </c>
      <c r="AM61" s="21">
        <f>IF(ISBLANK(Q61),"",Q61*Parametros_PEN!$B$2)</f>
        <v/>
      </c>
      <c r="AN61" s="21">
        <f>IF(ISBLANK(Q61),"",Q61*Parametros_PEN!$B$2*(1+Parametros_PEN!$B$3))</f>
        <v/>
      </c>
      <c r="AO61" s="21">
        <f>IF(ISBLANK(R61),"",R61*Parametros_PEN!$B$2)</f>
        <v/>
      </c>
      <c r="AP61" s="21">
        <f>IF(ISBLANK(R61),"",R61*Parametros_PEN!$B$2*(1+Parametros_PEN!$B$3))</f>
        <v/>
      </c>
    </row>
    <row r="62" ht="46.25" customHeight="1" s="15">
      <c r="A62" s="17" t="inlineStr">
        <is>
          <t>HSK-0061</t>
        </is>
      </c>
      <c r="B62" s="17" t="inlineStr">
        <is>
          <t>champu-hidranutre-500-ml</t>
        </is>
      </c>
      <c r="C62" s="17" t="n"/>
      <c r="D62" s="17" t="inlineStr">
        <is>
          <t>Haskell</t>
        </is>
      </c>
      <c r="E62" s="17" t="inlineStr">
        <is>
          <t>Shampoo Hidranutre 500ml</t>
        </is>
      </c>
      <c r="F62" s="17" t="inlineStr">
        <is>
          <t>Champu Hidranutre 500 ml</t>
        </is>
      </c>
      <c r="G62" s="17" t="inlineStr">
        <is>
          <t>Hidranutre</t>
        </is>
      </c>
      <c r="H62" s="17" t="inlineStr">
        <is>
          <t>Tratamentos Capilares</t>
        </is>
      </c>
      <c r="I62" s="17" t="inlineStr">
        <is>
          <t>Tratamientos capilares</t>
        </is>
      </c>
      <c r="J62" s="17" t="inlineStr">
        <is>
          <t>Hidratacao e nutricao combinadas</t>
        </is>
      </c>
      <c r="K62" s="17" t="inlineStr">
        <is>
          <t>Hidratacion y nutricion combinadas</t>
        </is>
      </c>
      <c r="L62" s="17" t="inlineStr">
        <is>
          <t>Shampoo</t>
        </is>
      </c>
      <c r="M62" s="17" t="inlineStr">
        <is>
          <t>Champu</t>
        </is>
      </c>
      <c r="N62" s="17" t="inlineStr">
        <is>
          <t>500 ml</t>
        </is>
      </c>
      <c r="O62" s="17" t="n">
        <v>500</v>
      </c>
      <c r="P62" s="17" t="inlineStr">
        <is>
          <t>ml</t>
        </is>
      </c>
      <c r="Q62" s="18" t="n">
        <v>84.90000000000001</v>
      </c>
      <c r="R62" s="18" t="n"/>
      <c r="S62" s="19">
        <f>IF(ISBLANK(R62),0,IFERROR((Q62-R62)/Q62,0))</f>
        <v/>
      </c>
      <c r="T62" s="17">
        <f>R62&lt;&gt;""</f>
        <v/>
      </c>
      <c r="U62" s="17">
        <f>TRUE()</f>
        <v/>
      </c>
      <c r="V62" s="17" t="n"/>
      <c r="W62" s="17" t="inlineStr">
        <is>
          <t>Champu de limpieza suave de la linea Hidranutre, que prepara el cabello para el tratamiento: combina hidratacion y nutricion en una sola rutina, ideal para quien busca practicidad.</t>
        </is>
      </c>
      <c r="X62" s="17" t="n"/>
      <c r="Y62" s="17" t="inlineStr">
        <is>
          <t>Limpieza suave sin resecar | Prepara el cabello para el resto de la rutina | Respeta el equilibrio del cuero cabelludo</t>
        </is>
      </c>
      <c r="Z62" s="17" t="n"/>
      <c r="AA62" s="17" t="inlineStr">
        <is>
          <t>Limpiador suave</t>
        </is>
      </c>
      <c r="AB62" s="17" t="n"/>
      <c r="AC62" s="17" t="inlineStr">
        <is>
          <t>Aplicar sobre el cabello mojado, masajear el cuero cabelludo con movimientos suaves y enjuagar bien.</t>
        </is>
      </c>
      <c r="AD62" s="17" t="inlineStr">
        <is>
          <t>Cana-de-acucar | Oleo de ricino</t>
        </is>
      </c>
      <c r="AE62" s="17" t="inlineStr">
        <is>
          <t>Cana de azucar | Aceite de ricino</t>
        </is>
      </c>
      <c r="AF62" s="17" t="n"/>
      <c r="AG62" s="17" t="n"/>
      <c r="AH62" s="20" t="inlineStr">
        <is>
          <t>shampoo-hidranutre-500ml.webp</t>
        </is>
      </c>
      <c r="AI62" s="17" t="n"/>
      <c r="AJ62" s="17" t="inlineStr">
        <is>
          <t>Todo tipo de cabello</t>
        </is>
      </c>
      <c r="AK62" s="17" t="inlineStr">
        <is>
          <t>https://haskellcosmeticos.com.br/tratamentos-capilares/hidranutre/</t>
        </is>
      </c>
      <c r="AL62" s="17" t="inlineStr">
        <is>
          <t>2026-07-24</t>
        </is>
      </c>
      <c r="AM62" s="21">
        <f>IF(ISBLANK(Q62),"",Q62*Parametros_PEN!$B$2)</f>
        <v/>
      </c>
      <c r="AN62" s="21">
        <f>IF(ISBLANK(Q62),"",Q62*Parametros_PEN!$B$2*(1+Parametros_PEN!$B$3))</f>
        <v/>
      </c>
      <c r="AO62" s="21">
        <f>IF(ISBLANK(R62),"",R62*Parametros_PEN!$B$2)</f>
        <v/>
      </c>
      <c r="AP62" s="21">
        <f>IF(ISBLANK(R62),"",R62*Parametros_PEN!$B$2*(1+Parametros_PEN!$B$3))</f>
        <v/>
      </c>
    </row>
    <row r="63" ht="46.25" customHeight="1" s="15">
      <c r="A63" s="17" t="inlineStr">
        <is>
          <t>HSK-0062</t>
        </is>
      </c>
      <c r="B63" s="17" t="inlineStr">
        <is>
          <t>acondicionador-hidranutre-300-ml</t>
        </is>
      </c>
      <c r="C63" s="17" t="n"/>
      <c r="D63" s="17" t="inlineStr">
        <is>
          <t>Haskell</t>
        </is>
      </c>
      <c r="E63" s="17" t="inlineStr">
        <is>
          <t>Condicionador Hidranutre 300ml</t>
        </is>
      </c>
      <c r="F63" s="17" t="inlineStr">
        <is>
          <t>Acondicionador Hidranutre 300 ml</t>
        </is>
      </c>
      <c r="G63" s="17" t="inlineStr">
        <is>
          <t>Hidranutre</t>
        </is>
      </c>
      <c r="H63" s="17" t="inlineStr">
        <is>
          <t>Tratamentos Capilares</t>
        </is>
      </c>
      <c r="I63" s="17" t="inlineStr">
        <is>
          <t>Tratamientos capilares</t>
        </is>
      </c>
      <c r="J63" s="17" t="inlineStr">
        <is>
          <t>Hidratacao e nutricao combinadas</t>
        </is>
      </c>
      <c r="K63" s="17" t="inlineStr">
        <is>
          <t>Hidratacion y nutricion combinadas</t>
        </is>
      </c>
      <c r="L63" s="17" t="inlineStr">
        <is>
          <t>Condicionador</t>
        </is>
      </c>
      <c r="M63" s="17" t="inlineStr">
        <is>
          <t>Acondicionador</t>
        </is>
      </c>
      <c r="N63" s="17" t="inlineStr">
        <is>
          <t>300 ml</t>
        </is>
      </c>
      <c r="O63" s="17" t="n">
        <v>300</v>
      </c>
      <c r="P63" s="17" t="inlineStr">
        <is>
          <t>ml</t>
        </is>
      </c>
      <c r="Q63" s="18" t="n">
        <v>62.9</v>
      </c>
      <c r="R63" s="18" t="n"/>
      <c r="S63" s="19">
        <f>IF(ISBLANK(R63),0,IFERROR((Q63-R63)/Q63,0))</f>
        <v/>
      </c>
      <c r="T63" s="17">
        <f>R63&lt;&gt;""</f>
        <v/>
      </c>
      <c r="U63" s="17">
        <f>TRUE()</f>
        <v/>
      </c>
      <c r="V63" s="17" t="n"/>
      <c r="W63" s="17" t="inlineStr">
        <is>
          <t>Acondicionador de la linea Hidranutre que facilita el desenredado y sella la cuticula: combina hidratacion y nutricion en una sola rutina, ideal para quien busca practicidad.</t>
        </is>
      </c>
      <c r="X63" s="17" t="n"/>
      <c r="Y63" s="17" t="inlineStr">
        <is>
          <t>Facilita el desenredado | Sella la cuticula | Aporta suavidad y brillo</t>
        </is>
      </c>
      <c r="Z63" s="17" t="n"/>
      <c r="AA63" s="17" t="inlineStr">
        <is>
          <t>Acondicionador</t>
        </is>
      </c>
      <c r="AB63" s="17" t="n"/>
      <c r="AC63" s="17" t="inlineStr">
        <is>
          <t>Aplicar en el largo y las puntas del cabello despues del champu, dejar actuar unos minutos y enjuagar.</t>
        </is>
      </c>
      <c r="AD63" s="17" t="inlineStr">
        <is>
          <t>Cana-de-acucar | Oleo de ricino</t>
        </is>
      </c>
      <c r="AE63" s="17" t="inlineStr">
        <is>
          <t>Cana de azucar | Aceite de ricino</t>
        </is>
      </c>
      <c r="AF63" s="17" t="n"/>
      <c r="AG63" s="17" t="n"/>
      <c r="AH63" s="20" t="inlineStr">
        <is>
          <t>condicionador-hidranutre-300ml.webp</t>
        </is>
      </c>
      <c r="AI63" s="17" t="n"/>
      <c r="AJ63" s="17" t="inlineStr">
        <is>
          <t>Todo tipo de cabello</t>
        </is>
      </c>
      <c r="AK63" s="17" t="inlineStr">
        <is>
          <t>https://haskellcosmeticos.com.br/tratamentos-capilares/hidranutre/</t>
        </is>
      </c>
      <c r="AL63" s="17" t="inlineStr">
        <is>
          <t>2026-07-24</t>
        </is>
      </c>
      <c r="AM63" s="21">
        <f>IF(ISBLANK(Q63),"",Q63*Parametros_PEN!$B$2)</f>
        <v/>
      </c>
      <c r="AN63" s="21">
        <f>IF(ISBLANK(Q63),"",Q63*Parametros_PEN!$B$2*(1+Parametros_PEN!$B$3))</f>
        <v/>
      </c>
      <c r="AO63" s="21">
        <f>IF(ISBLANK(R63),"",R63*Parametros_PEN!$B$2)</f>
        <v/>
      </c>
      <c r="AP63" s="21">
        <f>IF(ISBLANK(R63),"",R63*Parametros_PEN!$B$2*(1+Parametros_PEN!$B$3))</f>
        <v/>
      </c>
    </row>
    <row r="64" ht="46.25" customHeight="1" s="15">
      <c r="A64" s="17" t="inlineStr">
        <is>
          <t>HSK-0063</t>
        </is>
      </c>
      <c r="B64" s="17" t="inlineStr">
        <is>
          <t>acondicionador-hidranutre-500-ml</t>
        </is>
      </c>
      <c r="C64" s="17" t="n"/>
      <c r="D64" s="17" t="inlineStr">
        <is>
          <t>Haskell</t>
        </is>
      </c>
      <c r="E64" s="17" t="inlineStr">
        <is>
          <t>Condicionador Hidranutre 500ml</t>
        </is>
      </c>
      <c r="F64" s="17" t="inlineStr">
        <is>
          <t>Acondicionador Hidranutre 500 ml</t>
        </is>
      </c>
      <c r="G64" s="17" t="inlineStr">
        <is>
          <t>Hidranutre</t>
        </is>
      </c>
      <c r="H64" s="17" t="inlineStr">
        <is>
          <t>Tratamentos Capilares</t>
        </is>
      </c>
      <c r="I64" s="17" t="inlineStr">
        <is>
          <t>Tratamientos capilares</t>
        </is>
      </c>
      <c r="J64" s="17" t="inlineStr">
        <is>
          <t>Hidratacao e nutricao combinadas</t>
        </is>
      </c>
      <c r="K64" s="17" t="inlineStr">
        <is>
          <t>Hidratacion y nutricion combinadas</t>
        </is>
      </c>
      <c r="L64" s="17" t="inlineStr">
        <is>
          <t>Condicionador</t>
        </is>
      </c>
      <c r="M64" s="17" t="inlineStr">
        <is>
          <t>Acondicionador</t>
        </is>
      </c>
      <c r="N64" s="17" t="inlineStr">
        <is>
          <t>500 ml</t>
        </is>
      </c>
      <c r="O64" s="17" t="n">
        <v>500</v>
      </c>
      <c r="P64" s="17" t="inlineStr">
        <is>
          <t>ml</t>
        </is>
      </c>
      <c r="Q64" s="18" t="n">
        <v>84.90000000000001</v>
      </c>
      <c r="R64" s="18" t="n"/>
      <c r="S64" s="19">
        <f>IF(ISBLANK(R64),0,IFERROR((Q64-R64)/Q64,0))</f>
        <v/>
      </c>
      <c r="T64" s="17">
        <f>R64&lt;&gt;""</f>
        <v/>
      </c>
      <c r="U64" s="17">
        <f>TRUE()</f>
        <v/>
      </c>
      <c r="V64" s="17" t="n"/>
      <c r="W64" s="17" t="inlineStr">
        <is>
          <t>Acondicionador de la linea Hidranutre que facilita el desenredado y sella la cuticula: combina hidratacion y nutricion en una sola rutina, ideal para quien busca practicidad.</t>
        </is>
      </c>
      <c r="X64" s="17" t="n"/>
      <c r="Y64" s="17" t="inlineStr">
        <is>
          <t>Facilita el desenredado | Sella la cuticula | Aporta suavidad y brillo</t>
        </is>
      </c>
      <c r="Z64" s="17" t="n"/>
      <c r="AA64" s="17" t="inlineStr">
        <is>
          <t>Acondicionador</t>
        </is>
      </c>
      <c r="AB64" s="17" t="n"/>
      <c r="AC64" s="17" t="inlineStr">
        <is>
          <t>Aplicar en el largo y las puntas del cabello despues del champu, dejar actuar unos minutos y enjuagar.</t>
        </is>
      </c>
      <c r="AD64" s="17" t="inlineStr">
        <is>
          <t>Cana-de-acucar | Oleo de ricino</t>
        </is>
      </c>
      <c r="AE64" s="17" t="inlineStr">
        <is>
          <t>Cana de azucar | Aceite de ricino</t>
        </is>
      </c>
      <c r="AF64" s="17" t="n"/>
      <c r="AG64" s="17" t="n"/>
      <c r="AH64" s="20" t="inlineStr">
        <is>
          <t>condicionador-hidranutre-haskell-500ml.webp</t>
        </is>
      </c>
      <c r="AI64" s="17" t="n"/>
      <c r="AJ64" s="17" t="inlineStr">
        <is>
          <t>Todo tipo de cabello</t>
        </is>
      </c>
      <c r="AK64" s="17" t="inlineStr">
        <is>
          <t>https://haskellcosmeticos.com.br/tratamentos-capilares/hidranutre/</t>
        </is>
      </c>
      <c r="AL64" s="17" t="inlineStr">
        <is>
          <t>2026-07-24</t>
        </is>
      </c>
      <c r="AM64" s="21">
        <f>IF(ISBLANK(Q64),"",Q64*Parametros_PEN!$B$2)</f>
        <v/>
      </c>
      <c r="AN64" s="21">
        <f>IF(ISBLANK(Q64),"",Q64*Parametros_PEN!$B$2*(1+Parametros_PEN!$B$3))</f>
        <v/>
      </c>
      <c r="AO64" s="21">
        <f>IF(ISBLANK(R64),"",R64*Parametros_PEN!$B$2)</f>
        <v/>
      </c>
      <c r="AP64" s="21">
        <f>IF(ISBLANK(R64),"",R64*Parametros_PEN!$B$2*(1+Parametros_PEN!$B$3))</f>
        <v/>
      </c>
    </row>
    <row r="65" ht="46.25" customHeight="1" s="15">
      <c r="A65" s="17" t="inlineStr">
        <is>
          <t>HSK-0064</t>
        </is>
      </c>
      <c r="B65" s="17" t="inlineStr">
        <is>
          <t>mascarilla-de-tratamiento-hidranutre-300-g</t>
        </is>
      </c>
      <c r="C65" s="17" t="n"/>
      <c r="D65" s="17" t="inlineStr">
        <is>
          <t>Haskell</t>
        </is>
      </c>
      <c r="E65" s="17" t="inlineStr">
        <is>
          <t>Mascara de Tratamento Hidranutre 300g</t>
        </is>
      </c>
      <c r="F65" s="17" t="inlineStr">
        <is>
          <t>Mascarilla de tratamiento Hidranutre 300 g</t>
        </is>
      </c>
      <c r="G65" s="17" t="inlineStr">
        <is>
          <t>Hidranutre</t>
        </is>
      </c>
      <c r="H65" s="17" t="inlineStr">
        <is>
          <t>Tratamentos Capilares</t>
        </is>
      </c>
      <c r="I65" s="17" t="inlineStr">
        <is>
          <t>Tratamientos capilares</t>
        </is>
      </c>
      <c r="J65" s="17" t="inlineStr">
        <is>
          <t>Hidratacao e nutricao combinadas</t>
        </is>
      </c>
      <c r="K65" s="17" t="inlineStr">
        <is>
          <t>Hidratacion y nutricion combinadas</t>
        </is>
      </c>
      <c r="L65" s="17" t="inlineStr">
        <is>
          <t>Mascara de Tratamento</t>
        </is>
      </c>
      <c r="M65" s="17" t="inlineStr">
        <is>
          <t>Mascarilla de tratamiento</t>
        </is>
      </c>
      <c r="N65" s="17" t="inlineStr">
        <is>
          <t>300 g</t>
        </is>
      </c>
      <c r="O65" s="17" t="n">
        <v>300</v>
      </c>
      <c r="P65" s="17" t="inlineStr">
        <is>
          <t>g</t>
        </is>
      </c>
      <c r="Q65" s="18" t="n">
        <v>74.90000000000001</v>
      </c>
      <c r="R65" s="18" t="n"/>
      <c r="S65" s="19">
        <f>IF(ISBLANK(R65),0,IFERROR((Q65-R65)/Q65,0))</f>
        <v/>
      </c>
      <c r="T65" s="17">
        <f>R65&lt;&gt;""</f>
        <v/>
      </c>
      <c r="U65" s="17">
        <f>TRUE()</f>
        <v/>
      </c>
      <c r="V65" s="17" t="n"/>
      <c r="W65" s="17" t="inlineStr">
        <is>
          <t>Mascarilla de tratamiento concentrada de la linea Hidranutre, de uso posterior al champu: combina hidratacion y nutricion en una sola rutina, ideal para quien busca practicidad.</t>
        </is>
      </c>
      <c r="X65" s="17" t="n"/>
      <c r="Y65" s="17" t="inlineStr">
        <is>
          <t>Tratamiento concentrado | Actua en profundidad sobre la fibra capilar | Refuerza el resultado de la linea</t>
        </is>
      </c>
      <c r="Z65" s="17" t="n"/>
      <c r="AA65" s="17" t="inlineStr">
        <is>
          <t>Tratamiento intensivo</t>
        </is>
      </c>
      <c r="AB65" s="17" t="n"/>
      <c r="AC65" s="17" t="inlineStr">
        <is>
          <t>Aplicar mechon por mechon despues del champu, dejar actuar de 3 a 5 minutos y enjuagar bien.</t>
        </is>
      </c>
      <c r="AD65" s="17" t="inlineStr">
        <is>
          <t>Cana-de-acucar | Oleo de ricino</t>
        </is>
      </c>
      <c r="AE65" s="17" t="inlineStr">
        <is>
          <t>Cana de azucar | Aceite de ricino</t>
        </is>
      </c>
      <c r="AF65" s="17" t="n"/>
      <c r="AG65" s="17" t="n"/>
      <c r="AH65" s="20" t="inlineStr">
        <is>
          <t>mascara-de-tratamento-hidranutre-300g.webp</t>
        </is>
      </c>
      <c r="AI65" s="17" t="n"/>
      <c r="AJ65" s="17" t="inlineStr">
        <is>
          <t>Todo tipo de cabello</t>
        </is>
      </c>
      <c r="AK65" s="17" t="inlineStr">
        <is>
          <t>https://haskellcosmeticos.com.br/tratamentos-capilares/hidranutre/</t>
        </is>
      </c>
      <c r="AL65" s="17" t="inlineStr">
        <is>
          <t>2026-07-24</t>
        </is>
      </c>
      <c r="AM65" s="21">
        <f>IF(ISBLANK(Q65),"",Q65*Parametros_PEN!$B$2)</f>
        <v/>
      </c>
      <c r="AN65" s="21">
        <f>IF(ISBLANK(Q65),"",Q65*Parametros_PEN!$B$2*(1+Parametros_PEN!$B$3))</f>
        <v/>
      </c>
      <c r="AO65" s="21">
        <f>IF(ISBLANK(R65),"",R65*Parametros_PEN!$B$2)</f>
        <v/>
      </c>
      <c r="AP65" s="21">
        <f>IF(ISBLANK(R65),"",R65*Parametros_PEN!$B$2*(1+Parametros_PEN!$B$3))</f>
        <v/>
      </c>
    </row>
    <row r="66" ht="46.25" customHeight="1" s="15">
      <c r="A66" s="17" t="inlineStr">
        <is>
          <t>HSK-0065</t>
        </is>
      </c>
      <c r="B66" s="17" t="inlineStr">
        <is>
          <t>mascarilla-de-tratamiento-hidranutre-500-g</t>
        </is>
      </c>
      <c r="C66" s="17" t="n"/>
      <c r="D66" s="17" t="inlineStr">
        <is>
          <t>Haskell</t>
        </is>
      </c>
      <c r="E66" s="17" t="inlineStr">
        <is>
          <t>Mascara de Tratamento Hidranutre 500g</t>
        </is>
      </c>
      <c r="F66" s="17" t="inlineStr">
        <is>
          <t>Mascarilla de tratamiento Hidranutre 500 g</t>
        </is>
      </c>
      <c r="G66" s="17" t="inlineStr">
        <is>
          <t>Hidranutre</t>
        </is>
      </c>
      <c r="H66" s="17" t="inlineStr">
        <is>
          <t>Tratamentos Capilares</t>
        </is>
      </c>
      <c r="I66" s="17" t="inlineStr">
        <is>
          <t>Tratamientos capilares</t>
        </is>
      </c>
      <c r="J66" s="17" t="inlineStr">
        <is>
          <t>Hidratacao e nutricao combinadas</t>
        </is>
      </c>
      <c r="K66" s="17" t="inlineStr">
        <is>
          <t>Hidratacion y nutricion combinadas</t>
        </is>
      </c>
      <c r="L66" s="17" t="inlineStr">
        <is>
          <t>Mascara de Tratamento</t>
        </is>
      </c>
      <c r="M66" s="17" t="inlineStr">
        <is>
          <t>Mascarilla de tratamiento</t>
        </is>
      </c>
      <c r="N66" s="17" t="inlineStr">
        <is>
          <t>500 g</t>
        </is>
      </c>
      <c r="O66" s="17" t="n">
        <v>500</v>
      </c>
      <c r="P66" s="17" t="inlineStr">
        <is>
          <t>g</t>
        </is>
      </c>
      <c r="Q66" s="18" t="n">
        <v>89.90000000000001</v>
      </c>
      <c r="R66" s="18" t="n"/>
      <c r="S66" s="19">
        <f>IF(ISBLANK(R66),0,IFERROR((Q66-R66)/Q66,0))</f>
        <v/>
      </c>
      <c r="T66" s="17">
        <f>R66&lt;&gt;""</f>
        <v/>
      </c>
      <c r="U66" s="17">
        <f>TRUE()</f>
        <v/>
      </c>
      <c r="V66" s="17" t="n"/>
      <c r="W66" s="17" t="inlineStr">
        <is>
          <t>Mascarilla de tratamiento concentrada de la linea Hidranutre, de uso posterior al champu: combina hidratacion y nutricion en una sola rutina, ideal para quien busca practicidad.</t>
        </is>
      </c>
      <c r="X66" s="17" t="n"/>
      <c r="Y66" s="17" t="inlineStr">
        <is>
          <t>Tratamiento concentrado | Actua en profundidad sobre la fibra capilar | Refuerza el resultado de la linea</t>
        </is>
      </c>
      <c r="Z66" s="17" t="n"/>
      <c r="AA66" s="17" t="inlineStr">
        <is>
          <t>Tratamiento intensivo</t>
        </is>
      </c>
      <c r="AB66" s="17" t="n"/>
      <c r="AC66" s="17" t="inlineStr">
        <is>
          <t>Aplicar mechon por mechon despues del champu, dejar actuar de 3 a 5 minutos y enjuagar bien.</t>
        </is>
      </c>
      <c r="AD66" s="17" t="inlineStr">
        <is>
          <t>Cana-de-acucar | Oleo de ricino</t>
        </is>
      </c>
      <c r="AE66" s="17" t="inlineStr">
        <is>
          <t>Cana de azucar | Aceite de ricino</t>
        </is>
      </c>
      <c r="AF66" s="17" t="n"/>
      <c r="AG66" s="17" t="n"/>
      <c r="AH66" s="20" t="inlineStr">
        <is>
          <t>mascara-de-tratamento-hidranutre-500g.webp</t>
        </is>
      </c>
      <c r="AI66" s="17" t="n"/>
      <c r="AJ66" s="17" t="inlineStr">
        <is>
          <t>Todo tipo de cabello</t>
        </is>
      </c>
      <c r="AK66" s="17" t="inlineStr">
        <is>
          <t>https://haskellcosmeticos.com.br/tratamentos-capilares/hidranutre/</t>
        </is>
      </c>
      <c r="AL66" s="17" t="inlineStr">
        <is>
          <t>2026-07-24</t>
        </is>
      </c>
      <c r="AM66" s="21">
        <f>IF(ISBLANK(Q66),"",Q66*Parametros_PEN!$B$2)</f>
        <v/>
      </c>
      <c r="AN66" s="21">
        <f>IF(ISBLANK(Q66),"",Q66*Parametros_PEN!$B$2*(1+Parametros_PEN!$B$3))</f>
        <v/>
      </c>
      <c r="AO66" s="21">
        <f>IF(ISBLANK(R66),"",R66*Parametros_PEN!$B$2)</f>
        <v/>
      </c>
      <c r="AP66" s="21">
        <f>IF(ISBLANK(R66),"",R66*Parametros_PEN!$B$2*(1+Parametros_PEN!$B$3))</f>
        <v/>
      </c>
    </row>
    <row r="67" ht="35.05" customHeight="1" s="15">
      <c r="A67" s="17" t="inlineStr">
        <is>
          <t>HSK-0066</t>
        </is>
      </c>
      <c r="B67" s="17" t="inlineStr">
        <is>
          <t>leave-in-hidranutre-150-g</t>
        </is>
      </c>
      <c r="C67" s="17" t="n"/>
      <c r="D67" s="17" t="inlineStr">
        <is>
          <t>Haskell</t>
        </is>
      </c>
      <c r="E67" s="17" t="inlineStr">
        <is>
          <t>Leave In Hidranutre 150g</t>
        </is>
      </c>
      <c r="F67" s="17" t="inlineStr">
        <is>
          <t>Leave-in Hidranutre 150 g</t>
        </is>
      </c>
      <c r="G67" s="17" t="inlineStr">
        <is>
          <t>Hidranutre</t>
        </is>
      </c>
      <c r="H67" s="17" t="inlineStr">
        <is>
          <t>Tratamentos Capilares</t>
        </is>
      </c>
      <c r="I67" s="17" t="inlineStr">
        <is>
          <t>Tratamientos capilares</t>
        </is>
      </c>
      <c r="J67" s="17" t="inlineStr">
        <is>
          <t>Hidratacao e nutricao combinadas</t>
        </is>
      </c>
      <c r="K67" s="17" t="inlineStr">
        <is>
          <t>Hidratacion y nutricion combinadas</t>
        </is>
      </c>
      <c r="L67" s="17" t="inlineStr">
        <is>
          <t>Leave In</t>
        </is>
      </c>
      <c r="M67" s="17" t="inlineStr">
        <is>
          <t>Leave-in</t>
        </is>
      </c>
      <c r="N67" s="17" t="inlineStr">
        <is>
          <t>150 g</t>
        </is>
      </c>
      <c r="O67" s="17" t="n">
        <v>150</v>
      </c>
      <c r="P67" s="17" t="inlineStr">
        <is>
          <t>g</t>
        </is>
      </c>
      <c r="Q67" s="18" t="n">
        <v>59.9</v>
      </c>
      <c r="R67" s="18" t="n"/>
      <c r="S67" s="19">
        <f>IF(ISBLANK(R67),0,IFERROR((Q67-R67)/Q67,0))</f>
        <v/>
      </c>
      <c r="T67" s="17">
        <f>R67&lt;&gt;""</f>
        <v/>
      </c>
      <c r="U67" s="17">
        <f>TRUE()</f>
        <v/>
      </c>
      <c r="V67" s="17" t="n"/>
      <c r="W67" s="17" t="inlineStr">
        <is>
          <t>Leave-in sin enjuague de la linea Hidranutre que facilita el peinado: combina hidratacion y nutricion en una sola rutina, ideal para quien busca practicidad.</t>
        </is>
      </c>
      <c r="X67" s="17" t="n"/>
      <c r="Y67" s="17" t="inlineStr">
        <is>
          <t>Facilita el peinado | Reduce el frizz | Protege del calor</t>
        </is>
      </c>
      <c r="Z67" s="17" t="n"/>
      <c r="AA67" s="17" t="inlineStr">
        <is>
          <t>Leave-in</t>
        </is>
      </c>
      <c r="AB67" s="17" t="n"/>
      <c r="AC67" s="17" t="inlineStr">
        <is>
          <t>Aplicar sobre el cabello limpio y humedo, sin enjuagar, y finalizar como se prefiera.</t>
        </is>
      </c>
      <c r="AD67" s="17" t="inlineStr">
        <is>
          <t>Cana-de-acucar | Oleo de ricino</t>
        </is>
      </c>
      <c r="AE67" s="17" t="inlineStr">
        <is>
          <t>Cana de azucar | Aceite de ricino</t>
        </is>
      </c>
      <c r="AF67" s="17" t="n"/>
      <c r="AG67" s="17" t="n"/>
      <c r="AH67" s="20" t="inlineStr">
        <is>
          <t>leave-in-hidranutre-150g.webp</t>
        </is>
      </c>
      <c r="AI67" s="17" t="n"/>
      <c r="AJ67" s="17" t="inlineStr">
        <is>
          <t>Todo tipo de cabello</t>
        </is>
      </c>
      <c r="AK67" s="17" t="inlineStr">
        <is>
          <t>https://haskellcosmeticos.com.br/tratamentos-capilares/hidranutre/</t>
        </is>
      </c>
      <c r="AL67" s="17" t="inlineStr">
        <is>
          <t>2026-07-24</t>
        </is>
      </c>
      <c r="AM67" s="21">
        <f>IF(ISBLANK(Q67),"",Q67*Parametros_PEN!$B$2)</f>
        <v/>
      </c>
      <c r="AN67" s="21">
        <f>IF(ISBLANK(Q67),"",Q67*Parametros_PEN!$B$2*(1+Parametros_PEN!$B$3))</f>
        <v/>
      </c>
      <c r="AO67" s="21">
        <f>IF(ISBLANK(R67),"",R67*Parametros_PEN!$B$2)</f>
        <v/>
      </c>
      <c r="AP67" s="21">
        <f>IF(ISBLANK(R67),"",R67*Parametros_PEN!$B$2*(1+Parametros_PEN!$B$3))</f>
        <v/>
      </c>
    </row>
    <row r="68" ht="35.05" customHeight="1" s="15">
      <c r="A68" s="17" t="inlineStr">
        <is>
          <t>HSK-0067</t>
        </is>
      </c>
      <c r="B68" s="17" t="inlineStr">
        <is>
          <t>serum-hidranutre-35-ml</t>
        </is>
      </c>
      <c r="C68" s="17" t="n"/>
      <c r="D68" s="17" t="inlineStr">
        <is>
          <t>Haskell</t>
        </is>
      </c>
      <c r="E68" s="17" t="inlineStr">
        <is>
          <t>Serum Hidranutre 35ml</t>
        </is>
      </c>
      <c r="F68" s="17" t="inlineStr">
        <is>
          <t>Serum Hidranutre 35 ml</t>
        </is>
      </c>
      <c r="G68" s="17" t="inlineStr">
        <is>
          <t>Hidranutre</t>
        </is>
      </c>
      <c r="H68" s="17" t="inlineStr">
        <is>
          <t>Tratamentos Capilares</t>
        </is>
      </c>
      <c r="I68" s="17" t="inlineStr">
        <is>
          <t>Tratamientos capilares</t>
        </is>
      </c>
      <c r="J68" s="17" t="inlineStr">
        <is>
          <t>Hidratacao e nutricao combinadas</t>
        </is>
      </c>
      <c r="K68" s="17" t="inlineStr">
        <is>
          <t>Hidratacion y nutricion combinadas</t>
        </is>
      </c>
      <c r="L68" s="17" t="inlineStr">
        <is>
          <t>Serum</t>
        </is>
      </c>
      <c r="M68" s="17" t="inlineStr">
        <is>
          <t>Serum capilar</t>
        </is>
      </c>
      <c r="N68" s="17" t="inlineStr">
        <is>
          <t>35 ml</t>
        </is>
      </c>
      <c r="O68" s="17" t="n">
        <v>35</v>
      </c>
      <c r="P68" s="17" t="inlineStr">
        <is>
          <t>ml</t>
        </is>
      </c>
      <c r="Q68" s="18" t="n">
        <v>61.9</v>
      </c>
      <c r="R68" s="18" t="n"/>
      <c r="S68" s="19">
        <f>IF(ISBLANK(R68),0,IFERROR((Q68-R68)/Q68,0))</f>
        <v/>
      </c>
      <c r="T68" s="17">
        <f>R68&lt;&gt;""</f>
        <v/>
      </c>
      <c r="U68" s="17">
        <f>TRUE()</f>
        <v/>
      </c>
      <c r="V68" s="17" t="n"/>
      <c r="W68" s="17" t="inlineStr">
        <is>
          <t>Serum capilar sin enjuague de la linea Hidranutre, de textura liviana: combina hidratacion y nutricion en una sola rutina, ideal para quien busca practicidad.</t>
        </is>
      </c>
      <c r="X68" s="17" t="n"/>
      <c r="Y68" s="17" t="inlineStr">
        <is>
          <t>Aporta brillo intenso | Ayuda a controlar el frizz | Textura liviana, no apelmaza</t>
        </is>
      </c>
      <c r="Z68" s="17" t="n"/>
      <c r="AA68" s="17" t="inlineStr">
        <is>
          <t>Serum finalizador</t>
        </is>
      </c>
      <c r="AB68" s="17" t="n"/>
      <c r="AC68" s="17" t="inlineStr">
        <is>
          <t>Aplicar una pequena cantidad en el largo y las puntas del cabello seco o humedo.</t>
        </is>
      </c>
      <c r="AD68" s="17" t="inlineStr">
        <is>
          <t>Cana-de-acucar | Oleo de ricino</t>
        </is>
      </c>
      <c r="AE68" s="17" t="inlineStr">
        <is>
          <t>Cana de azucar | Aceite de ricino</t>
        </is>
      </c>
      <c r="AF68" s="17" t="n"/>
      <c r="AG68" s="17" t="n"/>
      <c r="AH68" s="20" t="inlineStr">
        <is>
          <t>serum-hidranutre-35ml.webp</t>
        </is>
      </c>
      <c r="AI68" s="17" t="n"/>
      <c r="AJ68" s="17" t="inlineStr">
        <is>
          <t>Todo tipo de cabello</t>
        </is>
      </c>
      <c r="AK68" s="17" t="inlineStr">
        <is>
          <t>https://haskellcosmeticos.com.br/tratamentos-capilares/hidranutre/</t>
        </is>
      </c>
      <c r="AL68" s="17" t="inlineStr">
        <is>
          <t>2026-07-24</t>
        </is>
      </c>
      <c r="AM68" s="21">
        <f>IF(ISBLANK(Q68),"",Q68*Parametros_PEN!$B$2)</f>
        <v/>
      </c>
      <c r="AN68" s="21">
        <f>IF(ISBLANK(Q68),"",Q68*Parametros_PEN!$B$2*(1+Parametros_PEN!$B$3))</f>
        <v/>
      </c>
      <c r="AO68" s="21">
        <f>IF(ISBLANK(R68),"",R68*Parametros_PEN!$B$2)</f>
        <v/>
      </c>
      <c r="AP68" s="21">
        <f>IF(ISBLANK(R68),"",R68*Parametros_PEN!$B$2*(1+Parametros_PEN!$B$3))</f>
        <v/>
      </c>
    </row>
    <row r="69" ht="35.05" customHeight="1" s="15">
      <c r="A69" s="17" t="inlineStr">
        <is>
          <t>HSK-0068</t>
        </is>
      </c>
      <c r="B69" s="17" t="inlineStr">
        <is>
          <t>aceite-nutritivo-infusion-de-aceites-100-ml</t>
        </is>
      </c>
      <c r="C69" s="17" t="n"/>
      <c r="D69" s="17" t="inlineStr">
        <is>
          <t>Haskell</t>
        </is>
      </c>
      <c r="E69" s="17" t="inlineStr">
        <is>
          <t>Oleo Nutritivo Infusao de Oleos 100ml</t>
        </is>
      </c>
      <c r="F69" s="17" t="inlineStr">
        <is>
          <t>Aceite nutritivo Infusion de Aceites 100 ml</t>
        </is>
      </c>
      <c r="G69" s="17" t="inlineStr">
        <is>
          <t>Infusao de Oleos</t>
        </is>
      </c>
      <c r="H69" s="17" t="inlineStr">
        <is>
          <t>Tratamentos Capilares</t>
        </is>
      </c>
      <c r="I69" s="17" t="inlineStr">
        <is>
          <t>Tratamientos capilares</t>
        </is>
      </c>
      <c r="J69" s="17" t="inlineStr">
        <is>
          <t>Nutricao ultraprofunda</t>
        </is>
      </c>
      <c r="K69" s="17" t="inlineStr">
        <is>
          <t>Nutricion ultraprofunda</t>
        </is>
      </c>
      <c r="L69" s="17" t="inlineStr">
        <is>
          <t>Oleo</t>
        </is>
      </c>
      <c r="M69" s="17" t="inlineStr">
        <is>
          <t>Aceite capilar</t>
        </is>
      </c>
      <c r="N69" s="17" t="inlineStr">
        <is>
          <t>100 ml</t>
        </is>
      </c>
      <c r="O69" s="17" t="n">
        <v>100</v>
      </c>
      <c r="P69" s="17" t="inlineStr">
        <is>
          <t>ml</t>
        </is>
      </c>
      <c r="Q69" s="18" t="n">
        <v>95.90000000000001</v>
      </c>
      <c r="R69" s="18" t="n"/>
      <c r="S69" s="19">
        <f>IF(ISBLANK(R69),0,IFERROR((Q69-R69)/Q69,0))</f>
        <v/>
      </c>
      <c r="T69" s="17">
        <f>R69&lt;&gt;""</f>
        <v/>
      </c>
      <c r="U69" s="17">
        <f>TRUE()</f>
        <v/>
      </c>
      <c r="V69" s="17" t="n"/>
      <c r="W69" s="17" t="inlineStr">
        <is>
          <t>Aceite capilar finalizador de la linea Infusao de Oleos, que aporta brillo: ofrece nutricion ultraprofunda para cabello muy reseco y opaco.</t>
        </is>
      </c>
      <c r="X69" s="17" t="n"/>
      <c r="Y69" s="17" t="inlineStr">
        <is>
          <t>Aporta brillo | Sella las puntas | Protege del resecamiento</t>
        </is>
      </c>
      <c r="Z69" s="17" t="n"/>
      <c r="AA69" s="17" t="inlineStr">
        <is>
          <t>Aceite finalizador</t>
        </is>
      </c>
      <c r="AB69" s="17" t="n"/>
      <c r="AC69" s="17" t="inlineStr">
        <is>
          <t>Aplicar unas gotas en el largo y las puntas del cabello seco o humedo.</t>
        </is>
      </c>
      <c r="AD69" s="17" t="inlineStr">
        <is>
          <t>Oleo de marula | Oleo de argan | Oleo de monoi</t>
        </is>
      </c>
      <c r="AE69" s="17" t="inlineStr">
        <is>
          <t>Aceite de marula | Aceite de argan | Aceite de monoi</t>
        </is>
      </c>
      <c r="AF69" s="17" t="n"/>
      <c r="AG69" s="17" t="n"/>
      <c r="AH69" s="20" t="inlineStr">
        <is>
          <t>oleo-nutritivo-infusao-de-oleos-100ml.webp</t>
        </is>
      </c>
      <c r="AI69" s="20" t="inlineStr">
        <is>
          <t>oleo-nutritivo-infusao-de-oleos-100ml_02.webp | oleo-nutritivo-infusao-de-oleos-100ml_03.webp</t>
        </is>
      </c>
      <c r="AJ69" s="17" t="inlineStr">
        <is>
          <t>Cabello muy reseco y opaco</t>
        </is>
      </c>
      <c r="AK69" s="17" t="inlineStr">
        <is>
          <t>https://haskellcosmeticos.com.br/tratamentos-capilares/infusao-de-oleos/</t>
        </is>
      </c>
      <c r="AL69" s="17" t="inlineStr">
        <is>
          <t>2026-07-24</t>
        </is>
      </c>
      <c r="AM69" s="21">
        <f>IF(ISBLANK(Q69),"",Q69*Parametros_PEN!$B$2)</f>
        <v/>
      </c>
      <c r="AN69" s="21">
        <f>IF(ISBLANK(Q69),"",Q69*Parametros_PEN!$B$2*(1+Parametros_PEN!$B$3))</f>
        <v/>
      </c>
      <c r="AO69" s="21">
        <f>IF(ISBLANK(R69),"",R69*Parametros_PEN!$B$2)</f>
        <v/>
      </c>
      <c r="AP69" s="21">
        <f>IF(ISBLANK(R69),"",R69*Parametros_PEN!$B$2*(1+Parametros_PEN!$B$3))</f>
        <v/>
      </c>
    </row>
    <row r="70" ht="46.25" customHeight="1" s="15">
      <c r="A70" s="17" t="inlineStr">
        <is>
          <t>HSK-0069</t>
        </is>
      </c>
      <c r="B70" s="17" t="inlineStr">
        <is>
          <t>mascarilla-de-tratamiento-infusion-de-aceites-500-g</t>
        </is>
      </c>
      <c r="C70" s="17" t="n"/>
      <c r="D70" s="17" t="inlineStr">
        <is>
          <t>Haskell</t>
        </is>
      </c>
      <c r="E70" s="17" t="inlineStr">
        <is>
          <t>Mascara de Tratamento Infusao de Oleos 500g</t>
        </is>
      </c>
      <c r="F70" s="17" t="inlineStr">
        <is>
          <t>Mascarilla de tratamiento Infusion de Aceites 500 g</t>
        </is>
      </c>
      <c r="G70" s="17" t="inlineStr">
        <is>
          <t>Infusao de Oleos</t>
        </is>
      </c>
      <c r="H70" s="17" t="inlineStr">
        <is>
          <t>Tratamentos Capilares</t>
        </is>
      </c>
      <c r="I70" s="17" t="inlineStr">
        <is>
          <t>Tratamientos capilares</t>
        </is>
      </c>
      <c r="J70" s="17" t="inlineStr">
        <is>
          <t>Nutricao ultraprofunda</t>
        </is>
      </c>
      <c r="K70" s="17" t="inlineStr">
        <is>
          <t>Nutricion ultraprofunda</t>
        </is>
      </c>
      <c r="L70" s="17" t="inlineStr">
        <is>
          <t>Mascara de Tratamento</t>
        </is>
      </c>
      <c r="M70" s="17" t="inlineStr">
        <is>
          <t>Mascarilla de tratamiento</t>
        </is>
      </c>
      <c r="N70" s="17" t="inlineStr">
        <is>
          <t>500 g</t>
        </is>
      </c>
      <c r="O70" s="17" t="n">
        <v>500</v>
      </c>
      <c r="P70" s="17" t="inlineStr">
        <is>
          <t>g</t>
        </is>
      </c>
      <c r="Q70" s="18" t="n">
        <v>89.90000000000001</v>
      </c>
      <c r="R70" s="18" t="n"/>
      <c r="S70" s="19">
        <f>IF(ISBLANK(R70),0,IFERROR((Q70-R70)/Q70,0))</f>
        <v/>
      </c>
      <c r="T70" s="17">
        <f>R70&lt;&gt;""</f>
        <v/>
      </c>
      <c r="U70" s="17">
        <f>TRUE()</f>
        <v/>
      </c>
      <c r="V70" s="17" t="n"/>
      <c r="W70" s="17" t="inlineStr">
        <is>
          <t>Mascarilla de tratamiento concentrada de la linea Infusao de Oleos, de uso posterior al champu: ofrece nutricion ultraprofunda para cabello muy reseco y opaco.</t>
        </is>
      </c>
      <c r="X70" s="17" t="n"/>
      <c r="Y70" s="17" t="inlineStr">
        <is>
          <t>Tratamiento concentrado | Actua en profundidad sobre la fibra capilar | Refuerza el resultado de la linea</t>
        </is>
      </c>
      <c r="Z70" s="17" t="n"/>
      <c r="AA70" s="17" t="inlineStr">
        <is>
          <t>Tratamiento intensivo</t>
        </is>
      </c>
      <c r="AB70" s="17" t="n"/>
      <c r="AC70" s="17" t="inlineStr">
        <is>
          <t>Aplicar mechon por mechon despues del champu, dejar actuar de 3 a 5 minutos y enjuagar bien.</t>
        </is>
      </c>
      <c r="AD70" s="17" t="inlineStr">
        <is>
          <t>Oleo de marula | Oleo de argan | Oleo de monoi</t>
        </is>
      </c>
      <c r="AE70" s="17" t="inlineStr">
        <is>
          <t>Aceite de marula | Aceite de argan | Aceite de monoi</t>
        </is>
      </c>
      <c r="AF70" s="17" t="n"/>
      <c r="AG70" s="17" t="n"/>
      <c r="AH70" s="20" t="inlineStr">
        <is>
          <t>mascara-de-tratamento-infusao-de-oleos-500g.webp</t>
        </is>
      </c>
      <c r="AI70" s="17" t="n"/>
      <c r="AJ70" s="17" t="inlineStr">
        <is>
          <t>Cabello muy reseco y opaco</t>
        </is>
      </c>
      <c r="AK70" s="17" t="inlineStr">
        <is>
          <t>https://haskellcosmeticos.com.br/tratamentos-capilares/infusao-de-oleos/</t>
        </is>
      </c>
      <c r="AL70" s="17" t="inlineStr">
        <is>
          <t>2026-07-24</t>
        </is>
      </c>
      <c r="AM70" s="21">
        <f>IF(ISBLANK(Q70),"",Q70*Parametros_PEN!$B$2)</f>
        <v/>
      </c>
      <c r="AN70" s="21">
        <f>IF(ISBLANK(Q70),"",Q70*Parametros_PEN!$B$2*(1+Parametros_PEN!$B$3))</f>
        <v/>
      </c>
      <c r="AO70" s="21">
        <f>IF(ISBLANK(R70),"",R70*Parametros_PEN!$B$2)</f>
        <v/>
      </c>
      <c r="AP70" s="21">
        <f>IF(ISBLANK(R70),"",R70*Parametros_PEN!$B$2*(1+Parametros_PEN!$B$3))</f>
        <v/>
      </c>
    </row>
    <row r="71" ht="46.25" customHeight="1" s="15">
      <c r="A71" s="17" t="inlineStr">
        <is>
          <t>HSK-0070</t>
        </is>
      </c>
      <c r="B71" s="17" t="inlineStr">
        <is>
          <t>acondicionador-infusion-de-aceites-500-ml</t>
        </is>
      </c>
      <c r="C71" s="17" t="n"/>
      <c r="D71" s="17" t="inlineStr">
        <is>
          <t>Haskell</t>
        </is>
      </c>
      <c r="E71" s="17" t="inlineStr">
        <is>
          <t>Condicionador Infusao de Oleos 500ml</t>
        </is>
      </c>
      <c r="F71" s="17" t="inlineStr">
        <is>
          <t>Acondicionador Infusion de Aceites 500 ml</t>
        </is>
      </c>
      <c r="G71" s="17" t="inlineStr">
        <is>
          <t>Infusao de Oleos</t>
        </is>
      </c>
      <c r="H71" s="17" t="inlineStr">
        <is>
          <t>Tratamentos Capilares</t>
        </is>
      </c>
      <c r="I71" s="17" t="inlineStr">
        <is>
          <t>Tratamientos capilares</t>
        </is>
      </c>
      <c r="J71" s="17" t="inlineStr">
        <is>
          <t>Nutricao ultraprofunda</t>
        </is>
      </c>
      <c r="K71" s="17" t="inlineStr">
        <is>
          <t>Nutricion ultraprofunda</t>
        </is>
      </c>
      <c r="L71" s="17" t="inlineStr">
        <is>
          <t>Condicionador</t>
        </is>
      </c>
      <c r="M71" s="17" t="inlineStr">
        <is>
          <t>Acondicionador</t>
        </is>
      </c>
      <c r="N71" s="17" t="inlineStr">
        <is>
          <t>500 ml</t>
        </is>
      </c>
      <c r="O71" s="17" t="n">
        <v>500</v>
      </c>
      <c r="P71" s="17" t="inlineStr">
        <is>
          <t>ml</t>
        </is>
      </c>
      <c r="Q71" s="18" t="n">
        <v>84.90000000000001</v>
      </c>
      <c r="R71" s="18" t="n"/>
      <c r="S71" s="19">
        <f>IF(ISBLANK(R71),0,IFERROR((Q71-R71)/Q71,0))</f>
        <v/>
      </c>
      <c r="T71" s="17">
        <f>R71&lt;&gt;""</f>
        <v/>
      </c>
      <c r="U71" s="17">
        <f>TRUE()</f>
        <v/>
      </c>
      <c r="V71" s="17" t="n"/>
      <c r="W71" s="17" t="inlineStr">
        <is>
          <t>Acondicionador de la linea Infusao de Oleos que facilita el desenredado y sella la cuticula: ofrece nutricion ultraprofunda para cabello muy reseco y opaco.</t>
        </is>
      </c>
      <c r="X71" s="17" t="n"/>
      <c r="Y71" s="17" t="inlineStr">
        <is>
          <t>Facilita el desenredado | Sella la cuticula | Aporta suavidad y brillo</t>
        </is>
      </c>
      <c r="Z71" s="17" t="n"/>
      <c r="AA71" s="17" t="inlineStr">
        <is>
          <t>Acondicionador</t>
        </is>
      </c>
      <c r="AB71" s="17" t="n"/>
      <c r="AC71" s="17" t="inlineStr">
        <is>
          <t>Aplicar en el largo y las puntas del cabello despues del champu, dejar actuar unos minutos y enjuagar.</t>
        </is>
      </c>
      <c r="AD71" s="17" t="inlineStr">
        <is>
          <t>Oleo de marula | Oleo de argan | Oleo de monoi</t>
        </is>
      </c>
      <c r="AE71" s="17" t="inlineStr">
        <is>
          <t>Aceite de marula | Aceite de argan | Aceite de monoi</t>
        </is>
      </c>
      <c r="AF71" s="17" t="n"/>
      <c r="AG71" s="17" t="n"/>
      <c r="AH71" s="20" t="inlineStr">
        <is>
          <t>condicionador-infusao-de-oleos-500ml.webp</t>
        </is>
      </c>
      <c r="AI71" s="17" t="n"/>
      <c r="AJ71" s="17" t="inlineStr">
        <is>
          <t>Cabello muy reseco y opaco</t>
        </is>
      </c>
      <c r="AK71" s="17" t="inlineStr">
        <is>
          <t>https://haskellcosmeticos.com.br/tratamentos-capilares/infusao-de-oleos/</t>
        </is>
      </c>
      <c r="AL71" s="17" t="inlineStr">
        <is>
          <t>2026-07-24</t>
        </is>
      </c>
      <c r="AM71" s="21">
        <f>IF(ISBLANK(Q71),"",Q71*Parametros_PEN!$B$2)</f>
        <v/>
      </c>
      <c r="AN71" s="21">
        <f>IF(ISBLANK(Q71),"",Q71*Parametros_PEN!$B$2*(1+Parametros_PEN!$B$3))</f>
        <v/>
      </c>
      <c r="AO71" s="21">
        <f>IF(ISBLANK(R71),"",R71*Parametros_PEN!$B$2)</f>
        <v/>
      </c>
      <c r="AP71" s="21">
        <f>IF(ISBLANK(R71),"",R71*Parametros_PEN!$B$2*(1+Parametros_PEN!$B$3))</f>
        <v/>
      </c>
    </row>
    <row r="72" ht="46.25" customHeight="1" s="15">
      <c r="A72" s="17" t="inlineStr">
        <is>
          <t>HSK-0071</t>
        </is>
      </c>
      <c r="B72" s="17" t="inlineStr">
        <is>
          <t>champu-infusion-de-aceites-500-ml</t>
        </is>
      </c>
      <c r="C72" s="17" t="n"/>
      <c r="D72" s="17" t="inlineStr">
        <is>
          <t>Haskell</t>
        </is>
      </c>
      <c r="E72" s="17" t="inlineStr">
        <is>
          <t>Shampoo Infusao de Oleos 500ml</t>
        </is>
      </c>
      <c r="F72" s="17" t="inlineStr">
        <is>
          <t>Champu Infusion de Aceites 500 ml</t>
        </is>
      </c>
      <c r="G72" s="17" t="inlineStr">
        <is>
          <t>Infusao de Oleos</t>
        </is>
      </c>
      <c r="H72" s="17" t="inlineStr">
        <is>
          <t>Tratamentos Capilares</t>
        </is>
      </c>
      <c r="I72" s="17" t="inlineStr">
        <is>
          <t>Tratamientos capilares</t>
        </is>
      </c>
      <c r="J72" s="17" t="inlineStr">
        <is>
          <t>Nutricao ultraprofunda</t>
        </is>
      </c>
      <c r="K72" s="17" t="inlineStr">
        <is>
          <t>Nutricion ultraprofunda</t>
        </is>
      </c>
      <c r="L72" s="17" t="inlineStr">
        <is>
          <t>Shampoo</t>
        </is>
      </c>
      <c r="M72" s="17" t="inlineStr">
        <is>
          <t>Champu</t>
        </is>
      </c>
      <c r="N72" s="17" t="inlineStr">
        <is>
          <t>500 ml</t>
        </is>
      </c>
      <c r="O72" s="17" t="n">
        <v>500</v>
      </c>
      <c r="P72" s="17" t="inlineStr">
        <is>
          <t>ml</t>
        </is>
      </c>
      <c r="Q72" s="18" t="n">
        <v>84.90000000000001</v>
      </c>
      <c r="R72" s="18" t="n"/>
      <c r="S72" s="19">
        <f>IF(ISBLANK(R72),0,IFERROR((Q72-R72)/Q72,0))</f>
        <v/>
      </c>
      <c r="T72" s="17">
        <f>R72&lt;&gt;""</f>
        <v/>
      </c>
      <c r="U72" s="17">
        <f>TRUE()</f>
        <v/>
      </c>
      <c r="V72" s="17" t="n"/>
      <c r="W72" s="17" t="inlineStr">
        <is>
          <t>Champu de limpieza suave de la linea Infusao de Oleos, que prepara el cabello para el tratamiento: ofrece nutricion ultraprofunda para cabello muy reseco y opaco.</t>
        </is>
      </c>
      <c r="X72" s="17" t="n"/>
      <c r="Y72" s="17" t="inlineStr">
        <is>
          <t>Limpieza suave sin resecar | Prepara el cabello para el resto de la rutina | Respeta el equilibrio del cuero cabelludo</t>
        </is>
      </c>
      <c r="Z72" s="17" t="n"/>
      <c r="AA72" s="17" t="inlineStr">
        <is>
          <t>Limpiador suave</t>
        </is>
      </c>
      <c r="AB72" s="17" t="n"/>
      <c r="AC72" s="17" t="inlineStr">
        <is>
          <t>Aplicar sobre el cabello mojado, masajear el cuero cabelludo con movimientos suaves y enjuagar bien.</t>
        </is>
      </c>
      <c r="AD72" s="17" t="inlineStr">
        <is>
          <t>Oleo de marula | Oleo de argan | Oleo de monoi</t>
        </is>
      </c>
      <c r="AE72" s="17" t="inlineStr">
        <is>
          <t>Aceite de marula | Aceite de argan | Aceite de monoi</t>
        </is>
      </c>
      <c r="AF72" s="17" t="n"/>
      <c r="AG72" s="17" t="n"/>
      <c r="AH72" s="20" t="inlineStr">
        <is>
          <t>shampoo-infusao-de-oleos-500ml.webp</t>
        </is>
      </c>
      <c r="AI72" s="17" t="n"/>
      <c r="AJ72" s="17" t="inlineStr">
        <is>
          <t>Cabello muy reseco y opaco</t>
        </is>
      </c>
      <c r="AK72" s="17" t="inlineStr">
        <is>
          <t>https://haskellcosmeticos.com.br/tratamentos-capilares/infusao-de-oleos/</t>
        </is>
      </c>
      <c r="AL72" s="17" t="inlineStr">
        <is>
          <t>2026-07-24</t>
        </is>
      </c>
      <c r="AM72" s="21">
        <f>IF(ISBLANK(Q72),"",Q72*Parametros_PEN!$B$2)</f>
        <v/>
      </c>
      <c r="AN72" s="21">
        <f>IF(ISBLANK(Q72),"",Q72*Parametros_PEN!$B$2*(1+Parametros_PEN!$B$3))</f>
        <v/>
      </c>
      <c r="AO72" s="21">
        <f>IF(ISBLANK(R72),"",R72*Parametros_PEN!$B$2)</f>
        <v/>
      </c>
      <c r="AP72" s="21">
        <f>IF(ISBLANK(R72),"",R72*Parametros_PEN!$B$2*(1+Parametros_PEN!$B$3))</f>
        <v/>
      </c>
    </row>
    <row r="73" ht="46.25" customHeight="1" s="15">
      <c r="A73" s="17" t="inlineStr">
        <is>
          <t>HSK-0072</t>
        </is>
      </c>
      <c r="B73" s="17" t="inlineStr">
        <is>
          <t>mascarilla-de-tratamiento-infusion-de-aceites-300-g</t>
        </is>
      </c>
      <c r="C73" s="17" t="n"/>
      <c r="D73" s="17" t="inlineStr">
        <is>
          <t>Haskell</t>
        </is>
      </c>
      <c r="E73" s="17" t="inlineStr">
        <is>
          <t>Mascara de Tratamento Infusao de Oleos 300g</t>
        </is>
      </c>
      <c r="F73" s="17" t="inlineStr">
        <is>
          <t>Mascarilla de tratamiento Infusion de Aceites 300 g</t>
        </is>
      </c>
      <c r="G73" s="17" t="inlineStr">
        <is>
          <t>Infusao de Oleos</t>
        </is>
      </c>
      <c r="H73" s="17" t="inlineStr">
        <is>
          <t>Tratamentos Capilares</t>
        </is>
      </c>
      <c r="I73" s="17" t="inlineStr">
        <is>
          <t>Tratamientos capilares</t>
        </is>
      </c>
      <c r="J73" s="17" t="inlineStr">
        <is>
          <t>Nutricao ultraprofunda</t>
        </is>
      </c>
      <c r="K73" s="17" t="inlineStr">
        <is>
          <t>Nutricion ultraprofunda</t>
        </is>
      </c>
      <c r="L73" s="17" t="inlineStr">
        <is>
          <t>Mascara de Tratamento</t>
        </is>
      </c>
      <c r="M73" s="17" t="inlineStr">
        <is>
          <t>Mascarilla de tratamiento</t>
        </is>
      </c>
      <c r="N73" s="17" t="inlineStr">
        <is>
          <t>300 g</t>
        </is>
      </c>
      <c r="O73" s="17" t="n">
        <v>300</v>
      </c>
      <c r="P73" s="17" t="inlineStr">
        <is>
          <t>g</t>
        </is>
      </c>
      <c r="Q73" s="18" t="n">
        <v>74.90000000000001</v>
      </c>
      <c r="R73" s="18" t="n"/>
      <c r="S73" s="19">
        <f>IF(ISBLANK(R73),0,IFERROR((Q73-R73)/Q73,0))</f>
        <v/>
      </c>
      <c r="T73" s="17">
        <f>R73&lt;&gt;""</f>
        <v/>
      </c>
      <c r="U73" s="17">
        <f>TRUE()</f>
        <v/>
      </c>
      <c r="V73" s="17" t="n"/>
      <c r="W73" s="17" t="inlineStr">
        <is>
          <t>Mascarilla de tratamiento concentrada de la linea Infusao de Oleos, de uso posterior al champu: ofrece nutricion ultraprofunda para cabello muy reseco y opaco.</t>
        </is>
      </c>
      <c r="X73" s="17" t="n"/>
      <c r="Y73" s="17" t="inlineStr">
        <is>
          <t>Tratamiento concentrado | Actua en profundidad sobre la fibra capilar | Refuerza el resultado de la linea</t>
        </is>
      </c>
      <c r="Z73" s="17" t="n"/>
      <c r="AA73" s="17" t="inlineStr">
        <is>
          <t>Tratamiento intensivo</t>
        </is>
      </c>
      <c r="AB73" s="17" t="n"/>
      <c r="AC73" s="17" t="inlineStr">
        <is>
          <t>Aplicar mechon por mechon despues del champu, dejar actuar de 3 a 5 minutos y enjuagar bien.</t>
        </is>
      </c>
      <c r="AD73" s="17" t="inlineStr">
        <is>
          <t>Oleo de marula | Oleo de argan | Oleo de monoi</t>
        </is>
      </c>
      <c r="AE73" s="17" t="inlineStr">
        <is>
          <t>Aceite de marula | Aceite de argan | Aceite de monoi</t>
        </is>
      </c>
      <c r="AF73" s="17" t="n"/>
      <c r="AG73" s="17" t="n"/>
      <c r="AH73" s="20" t="inlineStr">
        <is>
          <t>mascara-de-tratamento-infusao-de-oleos-300g.webp</t>
        </is>
      </c>
      <c r="AI73" s="17" t="n"/>
      <c r="AJ73" s="17" t="inlineStr">
        <is>
          <t>Cabello muy reseco y opaco</t>
        </is>
      </c>
      <c r="AK73" s="17" t="inlineStr">
        <is>
          <t>https://haskellcosmeticos.com.br/tratamentos-capilares/infusao-de-oleos/</t>
        </is>
      </c>
      <c r="AL73" s="17" t="inlineStr">
        <is>
          <t>2026-07-24</t>
        </is>
      </c>
      <c r="AM73" s="21">
        <f>IF(ISBLANK(Q73),"",Q73*Parametros_PEN!$B$2)</f>
        <v/>
      </c>
      <c r="AN73" s="21">
        <f>IF(ISBLANK(Q73),"",Q73*Parametros_PEN!$B$2*(1+Parametros_PEN!$B$3))</f>
        <v/>
      </c>
      <c r="AO73" s="21">
        <f>IF(ISBLANK(R73),"",R73*Parametros_PEN!$B$2)</f>
        <v/>
      </c>
      <c r="AP73" s="21">
        <f>IF(ISBLANK(R73),"",R73*Parametros_PEN!$B$2*(1+Parametros_PEN!$B$3))</f>
        <v/>
      </c>
    </row>
    <row r="74" ht="46.25" customHeight="1" s="15">
      <c r="A74" s="17" t="inlineStr">
        <is>
          <t>HSK-0073</t>
        </is>
      </c>
      <c r="B74" s="17" t="inlineStr">
        <is>
          <t>acondicionador-infusion-de-aceites-300-ml</t>
        </is>
      </c>
      <c r="C74" s="17" t="n"/>
      <c r="D74" s="17" t="inlineStr">
        <is>
          <t>Haskell</t>
        </is>
      </c>
      <c r="E74" s="17" t="inlineStr">
        <is>
          <t>Condicionador Infusao de Oleos 300ml</t>
        </is>
      </c>
      <c r="F74" s="17" t="inlineStr">
        <is>
          <t>Acondicionador Infusion de Aceites 300 ml</t>
        </is>
      </c>
      <c r="G74" s="17" t="inlineStr">
        <is>
          <t>Infusao de Oleos</t>
        </is>
      </c>
      <c r="H74" s="17" t="inlineStr">
        <is>
          <t>Tratamentos Capilares</t>
        </is>
      </c>
      <c r="I74" s="17" t="inlineStr">
        <is>
          <t>Tratamientos capilares</t>
        </is>
      </c>
      <c r="J74" s="17" t="inlineStr">
        <is>
          <t>Nutricao ultraprofunda</t>
        </is>
      </c>
      <c r="K74" s="17" t="inlineStr">
        <is>
          <t>Nutricion ultraprofunda</t>
        </is>
      </c>
      <c r="L74" s="17" t="inlineStr">
        <is>
          <t>Condicionador</t>
        </is>
      </c>
      <c r="M74" s="17" t="inlineStr">
        <is>
          <t>Acondicionador</t>
        </is>
      </c>
      <c r="N74" s="17" t="inlineStr">
        <is>
          <t>300 ml</t>
        </is>
      </c>
      <c r="O74" s="17" t="n">
        <v>300</v>
      </c>
      <c r="P74" s="17" t="inlineStr">
        <is>
          <t>ml</t>
        </is>
      </c>
      <c r="Q74" s="18" t="n">
        <v>62.9</v>
      </c>
      <c r="R74" s="18" t="n"/>
      <c r="S74" s="19">
        <f>IF(ISBLANK(R74),0,IFERROR((Q74-R74)/Q74,0))</f>
        <v/>
      </c>
      <c r="T74" s="17">
        <f>R74&lt;&gt;""</f>
        <v/>
      </c>
      <c r="U74" s="17">
        <f>TRUE()</f>
        <v/>
      </c>
      <c r="V74" s="17" t="n"/>
      <c r="W74" s="17" t="inlineStr">
        <is>
          <t>Acondicionador de la linea Infusao de Oleos que facilita el desenredado y sella la cuticula: ofrece nutricion ultraprofunda para cabello muy reseco y opaco.</t>
        </is>
      </c>
      <c r="X74" s="17" t="n"/>
      <c r="Y74" s="17" t="inlineStr">
        <is>
          <t>Facilita el desenredado | Sella la cuticula | Aporta suavidad y brillo</t>
        </is>
      </c>
      <c r="Z74" s="17" t="n"/>
      <c r="AA74" s="17" t="inlineStr">
        <is>
          <t>Acondicionador</t>
        </is>
      </c>
      <c r="AB74" s="17" t="n"/>
      <c r="AC74" s="17" t="inlineStr">
        <is>
          <t>Aplicar en el largo y las puntas del cabello despues del champu, dejar actuar unos minutos y enjuagar.</t>
        </is>
      </c>
      <c r="AD74" s="17" t="inlineStr">
        <is>
          <t>Oleo de marula | Oleo de argan | Oleo de monoi</t>
        </is>
      </c>
      <c r="AE74" s="17" t="inlineStr">
        <is>
          <t>Aceite de marula | Aceite de argan | Aceite de monoi</t>
        </is>
      </c>
      <c r="AF74" s="17" t="n"/>
      <c r="AG74" s="17" t="n"/>
      <c r="AH74" s="20" t="inlineStr">
        <is>
          <t>condicionador-infusao-de-oleos-300ml.webp</t>
        </is>
      </c>
      <c r="AI74" s="17" t="n"/>
      <c r="AJ74" s="17" t="inlineStr">
        <is>
          <t>Cabello muy reseco y opaco</t>
        </is>
      </c>
      <c r="AK74" s="17" t="inlineStr">
        <is>
          <t>https://haskellcosmeticos.com.br/tratamentos-capilares/infusao-de-oleos/</t>
        </is>
      </c>
      <c r="AL74" s="17" t="inlineStr">
        <is>
          <t>2026-07-24</t>
        </is>
      </c>
      <c r="AM74" s="21">
        <f>IF(ISBLANK(Q74),"",Q74*Parametros_PEN!$B$2)</f>
        <v/>
      </c>
      <c r="AN74" s="21">
        <f>IF(ISBLANK(Q74),"",Q74*Parametros_PEN!$B$2*(1+Parametros_PEN!$B$3))</f>
        <v/>
      </c>
      <c r="AO74" s="21">
        <f>IF(ISBLANK(R74),"",R74*Parametros_PEN!$B$2)</f>
        <v/>
      </c>
      <c r="AP74" s="21">
        <f>IF(ISBLANK(R74),"",R74*Parametros_PEN!$B$2*(1+Parametros_PEN!$B$3))</f>
        <v/>
      </c>
    </row>
    <row r="75" ht="46.25" customHeight="1" s="15">
      <c r="A75" s="17" t="inlineStr">
        <is>
          <t>HSK-0074</t>
        </is>
      </c>
      <c r="B75" s="17" t="inlineStr">
        <is>
          <t>champu-jaborandi-anticaida-300-ml</t>
        </is>
      </c>
      <c r="C75" s="17" t="n"/>
      <c r="D75" s="17" t="inlineStr">
        <is>
          <t>Haskell</t>
        </is>
      </c>
      <c r="E75" s="17" t="inlineStr">
        <is>
          <t>Shampoo Jaborandi Antiqueda 300ml</t>
        </is>
      </c>
      <c r="F75" s="17" t="inlineStr">
        <is>
          <t>Champu Jaborandi Anticaida 300 ml</t>
        </is>
      </c>
      <c r="G75" s="17" t="inlineStr">
        <is>
          <t>Jaborandi Antiqueda</t>
        </is>
      </c>
      <c r="H75" s="17" t="inlineStr">
        <is>
          <t>Tratamentos Capilares</t>
        </is>
      </c>
      <c r="I75" s="17" t="inlineStr">
        <is>
          <t>Tratamientos capilares</t>
        </is>
      </c>
      <c r="J75" s="17" t="inlineStr">
        <is>
          <t>Anti-queda</t>
        </is>
      </c>
      <c r="K75" s="17" t="inlineStr">
        <is>
          <t>Anticaida</t>
        </is>
      </c>
      <c r="L75" s="17" t="inlineStr">
        <is>
          <t>Shampoo</t>
        </is>
      </c>
      <c r="M75" s="17" t="inlineStr">
        <is>
          <t>Champu</t>
        </is>
      </c>
      <c r="N75" s="17" t="inlineStr">
        <is>
          <t>300 ml</t>
        </is>
      </c>
      <c r="O75" s="17" t="n">
        <v>300</v>
      </c>
      <c r="P75" s="17" t="inlineStr">
        <is>
          <t>ml</t>
        </is>
      </c>
      <c r="Q75" s="18" t="n">
        <v>58.9</v>
      </c>
      <c r="R75" s="18" t="n"/>
      <c r="S75" s="19">
        <f>IF(ISBLANK(R75),0,IFERROR((Q75-R75)/Q75,0))</f>
        <v/>
      </c>
      <c r="T75" s="17">
        <f>R75&lt;&gt;""</f>
        <v/>
      </c>
      <c r="U75" s="17">
        <f>TRUE()</f>
        <v/>
      </c>
      <c r="V75" s="17" t="n"/>
      <c r="W75" s="17" t="inlineStr">
        <is>
          <t>Champu de limpieza suave de la linea Jaborandi Antiqueda, que prepara el cabello para el tratamiento: ayuda a reducir la caida y estimula el crecimiento saludable desde la raiz.</t>
        </is>
      </c>
      <c r="X75" s="17" t="n"/>
      <c r="Y75" s="17" t="inlineStr">
        <is>
          <t>Limpieza suave sin resecar | Prepara el cabello para el resto de la rutina | Respeta el equilibrio del cuero cabelludo</t>
        </is>
      </c>
      <c r="Z75" s="17" t="n"/>
      <c r="AA75" s="17" t="inlineStr">
        <is>
          <t>Limpiador suave</t>
        </is>
      </c>
      <c r="AB75" s="17" t="n"/>
      <c r="AC75" s="17" t="inlineStr">
        <is>
          <t>Aplicar sobre el cabello mojado, masajear el cuero cabelludo con movimientos suaves y enjuagar bien.</t>
        </is>
      </c>
      <c r="AD75" s="17" t="inlineStr">
        <is>
          <t>Extrato de jaborandi | Extrato de nogueira | Extrato de arruda</t>
        </is>
      </c>
      <c r="AE75" s="17" t="inlineStr">
        <is>
          <t>Extracto de jaborandi | Extracto de nogal | Extracto de ruda</t>
        </is>
      </c>
      <c r="AF75" s="17" t="n"/>
      <c r="AG75" s="17" t="n"/>
      <c r="AH75" s="20" t="inlineStr">
        <is>
          <t>shampoo-jaborandi-antiqueda-300ml.webp</t>
        </is>
      </c>
      <c r="AI75" s="17" t="n"/>
      <c r="AJ75" s="17" t="inlineStr">
        <is>
          <t>Cabello con caida, cabello graso o debilitado</t>
        </is>
      </c>
      <c r="AK75" s="17" t="inlineStr">
        <is>
          <t>https://haskellcosmeticos.com.br/tratamentos-capilares/linha-jaborandi-haskell/</t>
        </is>
      </c>
      <c r="AL75" s="17" t="inlineStr">
        <is>
          <t>2026-07-24</t>
        </is>
      </c>
      <c r="AM75" s="21">
        <f>IF(ISBLANK(Q75),"",Q75*Parametros_PEN!$B$2)</f>
        <v/>
      </c>
      <c r="AN75" s="21">
        <f>IF(ISBLANK(Q75),"",Q75*Parametros_PEN!$B$2*(1+Parametros_PEN!$B$3))</f>
        <v/>
      </c>
      <c r="AO75" s="21">
        <f>IF(ISBLANK(R75),"",R75*Parametros_PEN!$B$2)</f>
        <v/>
      </c>
      <c r="AP75" s="21">
        <f>IF(ISBLANK(R75),"",R75*Parametros_PEN!$B$2*(1+Parametros_PEN!$B$3))</f>
        <v/>
      </c>
    </row>
    <row r="76" ht="46.25" customHeight="1" s="15">
      <c r="A76" s="17" t="inlineStr">
        <is>
          <t>HSK-0075</t>
        </is>
      </c>
      <c r="B76" s="17" t="inlineStr">
        <is>
          <t>champu-jaborandi-anticaida-500-ml</t>
        </is>
      </c>
      <c r="C76" s="17" t="n"/>
      <c r="D76" s="17" t="inlineStr">
        <is>
          <t>Haskell</t>
        </is>
      </c>
      <c r="E76" s="17" t="inlineStr">
        <is>
          <t>Shampoo Jaborandi Antiqueda 500ml</t>
        </is>
      </c>
      <c r="F76" s="17" t="inlineStr">
        <is>
          <t>Champu Jaborandi Anticaida 500 ml</t>
        </is>
      </c>
      <c r="G76" s="17" t="inlineStr">
        <is>
          <t>Jaborandi Antiqueda</t>
        </is>
      </c>
      <c r="H76" s="17" t="inlineStr">
        <is>
          <t>Tratamentos Capilares</t>
        </is>
      </c>
      <c r="I76" s="17" t="inlineStr">
        <is>
          <t>Tratamientos capilares</t>
        </is>
      </c>
      <c r="J76" s="17" t="inlineStr">
        <is>
          <t>Anti-queda</t>
        </is>
      </c>
      <c r="K76" s="17" t="inlineStr">
        <is>
          <t>Anticaida</t>
        </is>
      </c>
      <c r="L76" s="17" t="inlineStr">
        <is>
          <t>Shampoo</t>
        </is>
      </c>
      <c r="M76" s="17" t="inlineStr">
        <is>
          <t>Champu</t>
        </is>
      </c>
      <c r="N76" s="17" t="inlineStr">
        <is>
          <t>500 ml</t>
        </is>
      </c>
      <c r="O76" s="17" t="n">
        <v>500</v>
      </c>
      <c r="P76" s="17" t="inlineStr">
        <is>
          <t>ml</t>
        </is>
      </c>
      <c r="Q76" s="18" t="n">
        <v>76.90000000000001</v>
      </c>
      <c r="R76" s="18" t="n"/>
      <c r="S76" s="19">
        <f>IF(ISBLANK(R76),0,IFERROR((Q76-R76)/Q76,0))</f>
        <v/>
      </c>
      <c r="T76" s="17">
        <f>R76&lt;&gt;""</f>
        <v/>
      </c>
      <c r="U76" s="17">
        <f>TRUE()</f>
        <v/>
      </c>
      <c r="V76" s="17" t="n"/>
      <c r="W76" s="17" t="inlineStr">
        <is>
          <t>Champu de limpieza suave de la linea Jaborandi Antiqueda, que prepara el cabello para el tratamiento: ayuda a reducir la caida y estimula el crecimiento saludable desde la raiz.</t>
        </is>
      </c>
      <c r="X76" s="17" t="n"/>
      <c r="Y76" s="17" t="inlineStr">
        <is>
          <t>Limpieza suave sin resecar | Prepara el cabello para el resto de la rutina | Respeta el equilibrio del cuero cabelludo</t>
        </is>
      </c>
      <c r="Z76" s="17" t="n"/>
      <c r="AA76" s="17" t="inlineStr">
        <is>
          <t>Limpiador suave</t>
        </is>
      </c>
      <c r="AB76" s="17" t="n"/>
      <c r="AC76" s="17" t="inlineStr">
        <is>
          <t>Aplicar sobre el cabello mojado, masajear el cuero cabelludo con movimientos suaves y enjuagar bien.</t>
        </is>
      </c>
      <c r="AD76" s="17" t="inlineStr">
        <is>
          <t>Extrato de jaborandi | Extrato de nogueira | Extrato de arruda</t>
        </is>
      </c>
      <c r="AE76" s="17" t="inlineStr">
        <is>
          <t>Extracto de jaborandi | Extracto de nogal | Extracto de ruda</t>
        </is>
      </c>
      <c r="AF76" s="17" t="n"/>
      <c r="AG76" s="17" t="n"/>
      <c r="AH76" s="20" t="inlineStr">
        <is>
          <t>shampoo-jaborandi-antiqueda-500ml.webp</t>
        </is>
      </c>
      <c r="AI76" s="17" t="n"/>
      <c r="AJ76" s="17" t="inlineStr">
        <is>
          <t>Cabello con caida, cabello graso o debilitado</t>
        </is>
      </c>
      <c r="AK76" s="17" t="inlineStr">
        <is>
          <t>https://haskellcosmeticos.com.br/tratamentos-capilares/linha-jaborandi-haskell/</t>
        </is>
      </c>
      <c r="AL76" s="17" t="inlineStr">
        <is>
          <t>2026-07-24</t>
        </is>
      </c>
      <c r="AM76" s="21">
        <f>IF(ISBLANK(Q76),"",Q76*Parametros_PEN!$B$2)</f>
        <v/>
      </c>
      <c r="AN76" s="21">
        <f>IF(ISBLANK(Q76),"",Q76*Parametros_PEN!$B$2*(1+Parametros_PEN!$B$3))</f>
        <v/>
      </c>
      <c r="AO76" s="21">
        <f>IF(ISBLANK(R76),"",R76*Parametros_PEN!$B$2)</f>
        <v/>
      </c>
      <c r="AP76" s="21">
        <f>IF(ISBLANK(R76),"",R76*Parametros_PEN!$B$2*(1+Parametros_PEN!$B$3))</f>
        <v/>
      </c>
    </row>
    <row r="77" ht="46.25" customHeight="1" s="15">
      <c r="A77" s="17" t="inlineStr">
        <is>
          <t>HSK-0076</t>
        </is>
      </c>
      <c r="B77" s="17" t="inlineStr">
        <is>
          <t>champu-jaborandi-anticaida-1-l</t>
        </is>
      </c>
      <c r="C77" s="17" t="n"/>
      <c r="D77" s="17" t="inlineStr">
        <is>
          <t>Haskell</t>
        </is>
      </c>
      <c r="E77" s="17" t="inlineStr">
        <is>
          <t>Shampoo Jaborandi Antiqueda 1L</t>
        </is>
      </c>
      <c r="F77" s="17" t="inlineStr">
        <is>
          <t>Champu Jaborandi Anticaida 1 L</t>
        </is>
      </c>
      <c r="G77" s="17" t="inlineStr">
        <is>
          <t>Jaborandi Antiqueda</t>
        </is>
      </c>
      <c r="H77" s="17" t="inlineStr">
        <is>
          <t>Tratamentos Capilares</t>
        </is>
      </c>
      <c r="I77" s="17" t="inlineStr">
        <is>
          <t>Tratamientos capilares</t>
        </is>
      </c>
      <c r="J77" s="17" t="inlineStr">
        <is>
          <t>Anti-queda</t>
        </is>
      </c>
      <c r="K77" s="17" t="inlineStr">
        <is>
          <t>Anticaida</t>
        </is>
      </c>
      <c r="L77" s="17" t="inlineStr">
        <is>
          <t>Shampoo</t>
        </is>
      </c>
      <c r="M77" s="17" t="inlineStr">
        <is>
          <t>Champu</t>
        </is>
      </c>
      <c r="N77" s="17" t="inlineStr">
        <is>
          <t>1000 ml</t>
        </is>
      </c>
      <c r="O77" s="17" t="n">
        <v>1000</v>
      </c>
      <c r="P77" s="17" t="inlineStr">
        <is>
          <t>ml</t>
        </is>
      </c>
      <c r="Q77" s="18" t="n">
        <v>118.9</v>
      </c>
      <c r="R77" s="18" t="n"/>
      <c r="S77" s="19">
        <f>IF(ISBLANK(R77),0,IFERROR((Q77-R77)/Q77,0))</f>
        <v/>
      </c>
      <c r="T77" s="17">
        <f>R77&lt;&gt;""</f>
        <v/>
      </c>
      <c r="U77" s="17">
        <f>TRUE()</f>
        <v/>
      </c>
      <c r="V77" s="17" t="n"/>
      <c r="W77" s="17" t="inlineStr">
        <is>
          <t>Champu de limpieza suave de la linea Jaborandi Antiqueda, que prepara el cabello para el tratamiento: ayuda a reducir la caida y estimula el crecimiento saludable desde la raiz.</t>
        </is>
      </c>
      <c r="X77" s="17" t="n"/>
      <c r="Y77" s="17" t="inlineStr">
        <is>
          <t>Limpieza suave sin resecar | Prepara el cabello para el resto de la rutina | Respeta el equilibrio del cuero cabelludo</t>
        </is>
      </c>
      <c r="Z77" s="17" t="n"/>
      <c r="AA77" s="17" t="inlineStr">
        <is>
          <t>Limpiador suave</t>
        </is>
      </c>
      <c r="AB77" s="17" t="n"/>
      <c r="AC77" s="17" t="inlineStr">
        <is>
          <t>Aplicar sobre el cabello mojado, masajear el cuero cabelludo con movimientos suaves y enjuagar bien.</t>
        </is>
      </c>
      <c r="AD77" s="17" t="inlineStr">
        <is>
          <t>Extrato de jaborandi | Extrato de nogueira | Extrato de arruda</t>
        </is>
      </c>
      <c r="AE77" s="17" t="inlineStr">
        <is>
          <t>Extracto de jaborandi | Extracto de nogal | Extracto de ruda</t>
        </is>
      </c>
      <c r="AF77" s="17" t="n"/>
      <c r="AG77" s="17" t="n"/>
      <c r="AH77" s="20" t="inlineStr">
        <is>
          <t>shampoo-jaborandi-antiqueda-1l.webp</t>
        </is>
      </c>
      <c r="AI77" s="17" t="n"/>
      <c r="AJ77" s="17" t="inlineStr">
        <is>
          <t>Cabello con caida, cabello graso o debilitado</t>
        </is>
      </c>
      <c r="AK77" s="17" t="inlineStr">
        <is>
          <t>https://haskellcosmeticos.com.br/tratamentos-capilares/linha-jaborandi-haskell/</t>
        </is>
      </c>
      <c r="AL77" s="17" t="inlineStr">
        <is>
          <t>2026-07-24</t>
        </is>
      </c>
      <c r="AM77" s="21">
        <f>IF(ISBLANK(Q77),"",Q77*Parametros_PEN!$B$2)</f>
        <v/>
      </c>
      <c r="AN77" s="21">
        <f>IF(ISBLANK(Q77),"",Q77*Parametros_PEN!$B$2*(1+Parametros_PEN!$B$3))</f>
        <v/>
      </c>
      <c r="AO77" s="21">
        <f>IF(ISBLANK(R77),"",R77*Parametros_PEN!$B$2)</f>
        <v/>
      </c>
      <c r="AP77" s="21">
        <f>IF(ISBLANK(R77),"",R77*Parametros_PEN!$B$2*(1+Parametros_PEN!$B$3))</f>
        <v/>
      </c>
    </row>
    <row r="78" ht="46.25" customHeight="1" s="15">
      <c r="A78" s="17" t="inlineStr">
        <is>
          <t>HSK-0077</t>
        </is>
      </c>
      <c r="B78" s="17" t="inlineStr">
        <is>
          <t>acondicionador-jaborandi-anticaida-300-ml</t>
        </is>
      </c>
      <c r="C78" s="17" t="n"/>
      <c r="D78" s="17" t="inlineStr">
        <is>
          <t>Haskell</t>
        </is>
      </c>
      <c r="E78" s="17" t="inlineStr">
        <is>
          <t>Condicionador Jaborandi Antiqueda 300ml</t>
        </is>
      </c>
      <c r="F78" s="17" t="inlineStr">
        <is>
          <t>Acondicionador Jaborandi Anticaida 300 ml</t>
        </is>
      </c>
      <c r="G78" s="17" t="inlineStr">
        <is>
          <t>Jaborandi Antiqueda</t>
        </is>
      </c>
      <c r="H78" s="17" t="inlineStr">
        <is>
          <t>Tratamentos Capilares</t>
        </is>
      </c>
      <c r="I78" s="17" t="inlineStr">
        <is>
          <t>Tratamientos capilares</t>
        </is>
      </c>
      <c r="J78" s="17" t="inlineStr">
        <is>
          <t>Anti-queda</t>
        </is>
      </c>
      <c r="K78" s="17" t="inlineStr">
        <is>
          <t>Anticaida</t>
        </is>
      </c>
      <c r="L78" s="17" t="inlineStr">
        <is>
          <t>Condicionador</t>
        </is>
      </c>
      <c r="M78" s="17" t="inlineStr">
        <is>
          <t>Acondicionador</t>
        </is>
      </c>
      <c r="N78" s="17" t="inlineStr">
        <is>
          <t>300 ml</t>
        </is>
      </c>
      <c r="O78" s="17" t="n">
        <v>300</v>
      </c>
      <c r="P78" s="17" t="inlineStr">
        <is>
          <t>ml</t>
        </is>
      </c>
      <c r="Q78" s="18" t="n">
        <v>58.9</v>
      </c>
      <c r="R78" s="18" t="n"/>
      <c r="S78" s="19">
        <f>IF(ISBLANK(R78),0,IFERROR((Q78-R78)/Q78,0))</f>
        <v/>
      </c>
      <c r="T78" s="17">
        <f>R78&lt;&gt;""</f>
        <v/>
      </c>
      <c r="U78" s="17">
        <f>TRUE()</f>
        <v/>
      </c>
      <c r="V78" s="17" t="n"/>
      <c r="W78" s="17" t="inlineStr">
        <is>
          <t>Acondicionador de la linea Jaborandi Antiqueda que facilita el desenredado y sella la cuticula: ayuda a reducir la caida y estimula el crecimiento saludable desde la raiz.</t>
        </is>
      </c>
      <c r="X78" s="17" t="n"/>
      <c r="Y78" s="17" t="inlineStr">
        <is>
          <t>Facilita el desenredado | Sella la cuticula | Aporta suavidad y brillo</t>
        </is>
      </c>
      <c r="Z78" s="17" t="n"/>
      <c r="AA78" s="17" t="inlineStr">
        <is>
          <t>Acondicionador</t>
        </is>
      </c>
      <c r="AB78" s="17" t="n"/>
      <c r="AC78" s="17" t="inlineStr">
        <is>
          <t>Aplicar en el largo y las puntas del cabello despues del champu, dejar actuar unos minutos y enjuagar.</t>
        </is>
      </c>
      <c r="AD78" s="17" t="inlineStr">
        <is>
          <t>Extrato de jaborandi | Extrato de nogueira | Extrato de arruda</t>
        </is>
      </c>
      <c r="AE78" s="17" t="inlineStr">
        <is>
          <t>Extracto de jaborandi | Extracto de nogal | Extracto de ruda</t>
        </is>
      </c>
      <c r="AF78" s="17" t="n"/>
      <c r="AG78" s="17" t="n"/>
      <c r="AH78" s="20" t="inlineStr">
        <is>
          <t>condicionador-jaborandi-antiqueda-300ml.webp</t>
        </is>
      </c>
      <c r="AI78" s="17" t="n"/>
      <c r="AJ78" s="17" t="inlineStr">
        <is>
          <t>Cabello con caida, cabello graso o debilitado</t>
        </is>
      </c>
      <c r="AK78" s="17" t="inlineStr">
        <is>
          <t>https://haskellcosmeticos.com.br/tratamentos-capilares/linha-jaborandi-haskell/</t>
        </is>
      </c>
      <c r="AL78" s="17" t="inlineStr">
        <is>
          <t>2026-07-24</t>
        </is>
      </c>
      <c r="AM78" s="21">
        <f>IF(ISBLANK(Q78),"",Q78*Parametros_PEN!$B$2)</f>
        <v/>
      </c>
      <c r="AN78" s="21">
        <f>IF(ISBLANK(Q78),"",Q78*Parametros_PEN!$B$2*(1+Parametros_PEN!$B$3))</f>
        <v/>
      </c>
      <c r="AO78" s="21">
        <f>IF(ISBLANK(R78),"",R78*Parametros_PEN!$B$2)</f>
        <v/>
      </c>
      <c r="AP78" s="21">
        <f>IF(ISBLANK(R78),"",R78*Parametros_PEN!$B$2*(1+Parametros_PEN!$B$3))</f>
        <v/>
      </c>
    </row>
    <row r="79" ht="46.25" customHeight="1" s="15">
      <c r="A79" s="17" t="inlineStr">
        <is>
          <t>HSK-0078</t>
        </is>
      </c>
      <c r="B79" s="17" t="inlineStr">
        <is>
          <t>acondicionador-jaborandi-anticaida-500-ml</t>
        </is>
      </c>
      <c r="C79" s="17" t="n"/>
      <c r="D79" s="17" t="inlineStr">
        <is>
          <t>Haskell</t>
        </is>
      </c>
      <c r="E79" s="17" t="inlineStr">
        <is>
          <t>Condicionador Jaborandi Antiqueda 500ml</t>
        </is>
      </c>
      <c r="F79" s="17" t="inlineStr">
        <is>
          <t>Acondicionador Jaborandi Anticaida 500 ml</t>
        </is>
      </c>
      <c r="G79" s="17" t="inlineStr">
        <is>
          <t>Jaborandi Antiqueda</t>
        </is>
      </c>
      <c r="H79" s="17" t="inlineStr">
        <is>
          <t>Tratamentos Capilares</t>
        </is>
      </c>
      <c r="I79" s="17" t="inlineStr">
        <is>
          <t>Tratamientos capilares</t>
        </is>
      </c>
      <c r="J79" s="17" t="inlineStr">
        <is>
          <t>Anti-queda</t>
        </is>
      </c>
      <c r="K79" s="17" t="inlineStr">
        <is>
          <t>Anticaida</t>
        </is>
      </c>
      <c r="L79" s="17" t="inlineStr">
        <is>
          <t>Condicionador</t>
        </is>
      </c>
      <c r="M79" s="17" t="inlineStr">
        <is>
          <t>Acondicionador</t>
        </is>
      </c>
      <c r="N79" s="17" t="inlineStr">
        <is>
          <t>500 ml</t>
        </is>
      </c>
      <c r="O79" s="17" t="n">
        <v>500</v>
      </c>
      <c r="P79" s="17" t="inlineStr">
        <is>
          <t>ml</t>
        </is>
      </c>
      <c r="Q79" s="18" t="n">
        <v>76.90000000000001</v>
      </c>
      <c r="R79" s="18" t="n"/>
      <c r="S79" s="19">
        <f>IF(ISBLANK(R79),0,IFERROR((Q79-R79)/Q79,0))</f>
        <v/>
      </c>
      <c r="T79" s="17">
        <f>R79&lt;&gt;""</f>
        <v/>
      </c>
      <c r="U79" s="17">
        <f>TRUE()</f>
        <v/>
      </c>
      <c r="V79" s="17" t="n"/>
      <c r="W79" s="17" t="inlineStr">
        <is>
          <t>Acondicionador de la linea Jaborandi Antiqueda que facilita el desenredado y sella la cuticula: ayuda a reducir la caida y estimula el crecimiento saludable desde la raiz.</t>
        </is>
      </c>
      <c r="X79" s="17" t="n"/>
      <c r="Y79" s="17" t="inlineStr">
        <is>
          <t>Facilita el desenredado | Sella la cuticula | Aporta suavidad y brillo</t>
        </is>
      </c>
      <c r="Z79" s="17" t="n"/>
      <c r="AA79" s="17" t="inlineStr">
        <is>
          <t>Acondicionador</t>
        </is>
      </c>
      <c r="AB79" s="17" t="n"/>
      <c r="AC79" s="17" t="inlineStr">
        <is>
          <t>Aplicar en el largo y las puntas del cabello despues del champu, dejar actuar unos minutos y enjuagar.</t>
        </is>
      </c>
      <c r="AD79" s="17" t="inlineStr">
        <is>
          <t>Extrato de jaborandi | Extrato de nogueira | Extrato de arruda</t>
        </is>
      </c>
      <c r="AE79" s="17" t="inlineStr">
        <is>
          <t>Extracto de jaborandi | Extracto de nogal | Extracto de ruda</t>
        </is>
      </c>
      <c r="AF79" s="17" t="n"/>
      <c r="AG79" s="17" t="n"/>
      <c r="AH79" s="20" t="inlineStr">
        <is>
          <t>condicionador-jaborandi-antiqueda-500ml.webp</t>
        </is>
      </c>
      <c r="AI79" s="17" t="n"/>
      <c r="AJ79" s="17" t="inlineStr">
        <is>
          <t>Cabello con caida, cabello graso o debilitado</t>
        </is>
      </c>
      <c r="AK79" s="17" t="inlineStr">
        <is>
          <t>https://haskellcosmeticos.com.br/tratamentos-capilares/linha-jaborandi-haskell/</t>
        </is>
      </c>
      <c r="AL79" s="17" t="inlineStr">
        <is>
          <t>2026-07-24</t>
        </is>
      </c>
      <c r="AM79" s="21">
        <f>IF(ISBLANK(Q79),"",Q79*Parametros_PEN!$B$2)</f>
        <v/>
      </c>
      <c r="AN79" s="21">
        <f>IF(ISBLANK(Q79),"",Q79*Parametros_PEN!$B$2*(1+Parametros_PEN!$B$3))</f>
        <v/>
      </c>
      <c r="AO79" s="21">
        <f>IF(ISBLANK(R79),"",R79*Parametros_PEN!$B$2)</f>
        <v/>
      </c>
      <c r="AP79" s="21">
        <f>IF(ISBLANK(R79),"",R79*Parametros_PEN!$B$2*(1+Parametros_PEN!$B$3))</f>
        <v/>
      </c>
    </row>
    <row r="80" ht="35.05" customHeight="1" s="15">
      <c r="A80" s="17" t="inlineStr">
        <is>
          <t>HSK-0079</t>
        </is>
      </c>
      <c r="B80" s="17" t="inlineStr">
        <is>
          <t>tonico-fortalecedor-jaborandi-anticaida-120-ml</t>
        </is>
      </c>
      <c r="C80" s="17" t="n"/>
      <c r="D80" s="17" t="inlineStr">
        <is>
          <t>Haskell</t>
        </is>
      </c>
      <c r="E80" s="17" t="inlineStr">
        <is>
          <t>Tonico Fortalecedor Jaborandi Antiqueda 120ml</t>
        </is>
      </c>
      <c r="F80" s="17" t="inlineStr">
        <is>
          <t>Tonico fortalecedor Jaborandi Anticaida 120 ml</t>
        </is>
      </c>
      <c r="G80" s="17" t="inlineStr">
        <is>
          <t>Jaborandi Antiqueda</t>
        </is>
      </c>
      <c r="H80" s="17" t="inlineStr">
        <is>
          <t>Tratamentos Capilares</t>
        </is>
      </c>
      <c r="I80" s="17" t="inlineStr">
        <is>
          <t>Tratamientos capilares</t>
        </is>
      </c>
      <c r="J80" s="17" t="inlineStr">
        <is>
          <t>Anti-queda</t>
        </is>
      </c>
      <c r="K80" s="17" t="inlineStr">
        <is>
          <t>Anticaida</t>
        </is>
      </c>
      <c r="L80" s="17" t="inlineStr">
        <is>
          <t>Tonico</t>
        </is>
      </c>
      <c r="M80" s="17" t="inlineStr">
        <is>
          <t>Tonico capilar</t>
        </is>
      </c>
      <c r="N80" s="17" t="inlineStr">
        <is>
          <t>120 ml</t>
        </is>
      </c>
      <c r="O80" s="17" t="n">
        <v>120</v>
      </c>
      <c r="P80" s="17" t="inlineStr">
        <is>
          <t>ml</t>
        </is>
      </c>
      <c r="Q80" s="18" t="n">
        <v>48.9</v>
      </c>
      <c r="R80" s="18" t="n"/>
      <c r="S80" s="19">
        <f>IF(ISBLANK(R80),0,IFERROR((Q80-R80)/Q80,0))</f>
        <v/>
      </c>
      <c r="T80" s="17">
        <f>R80&lt;&gt;""</f>
        <v/>
      </c>
      <c r="U80" s="17">
        <f>TRUE()</f>
        <v/>
      </c>
      <c r="V80" s="17" t="n"/>
      <c r="W80" s="17" t="inlineStr">
        <is>
          <t>Tonico capilar de la linea Jaborandi Antiqueda, de uso directo sobre el cuero cabelludo: ayuda a reducir la caida y estimula el crecimiento saludable desde la raiz.</t>
        </is>
      </c>
      <c r="X80" s="17" t="n"/>
      <c r="Y80" s="17" t="inlineStr">
        <is>
          <t>Estimula el cuero cabelludo | Refuerza la raiz del cabello</t>
        </is>
      </c>
      <c r="Z80" s="17" t="n"/>
      <c r="AA80" s="17" t="inlineStr">
        <is>
          <t>Tonico capilar</t>
        </is>
      </c>
      <c r="AB80" s="17" t="n"/>
      <c r="AC80" s="17" t="inlineStr">
        <is>
          <t>Aplicar directamente sobre el cuero cabelludo limpio y masajear suavemente. No es necesario enjuagar.</t>
        </is>
      </c>
      <c r="AD80" s="17" t="inlineStr">
        <is>
          <t>Extrato de jaborandi | Extrato de nogueira | Extrato de arruda</t>
        </is>
      </c>
      <c r="AE80" s="17" t="inlineStr">
        <is>
          <t>Extracto de jaborandi | Extracto de nogal | Extracto de ruda</t>
        </is>
      </c>
      <c r="AF80" s="17" t="n"/>
      <c r="AG80" s="17" t="n"/>
      <c r="AH80" s="20" t="inlineStr">
        <is>
          <t>tonico-fortalecedor-jaborandi-antiqueda-120ml.webp</t>
        </is>
      </c>
      <c r="AI80" s="17" t="n"/>
      <c r="AJ80" s="17" t="inlineStr">
        <is>
          <t>Cabello con caida, cabello graso o debilitado</t>
        </is>
      </c>
      <c r="AK80" s="17" t="inlineStr">
        <is>
          <t>https://haskellcosmeticos.com.br/tratamentos-capilares/linha-jaborandi-haskell/</t>
        </is>
      </c>
      <c r="AL80" s="17" t="inlineStr">
        <is>
          <t>2026-07-24</t>
        </is>
      </c>
      <c r="AM80" s="21">
        <f>IF(ISBLANK(Q80),"",Q80*Parametros_PEN!$B$2)</f>
        <v/>
      </c>
      <c r="AN80" s="21">
        <f>IF(ISBLANK(Q80),"",Q80*Parametros_PEN!$B$2*(1+Parametros_PEN!$B$3))</f>
        <v/>
      </c>
      <c r="AO80" s="21">
        <f>IF(ISBLANK(R80),"",R80*Parametros_PEN!$B$2)</f>
        <v/>
      </c>
      <c r="AP80" s="21">
        <f>IF(ISBLANK(R80),"",R80*Parametros_PEN!$B$2*(1+Parametros_PEN!$B$3))</f>
        <v/>
      </c>
    </row>
    <row r="81" ht="46.25" customHeight="1" s="15">
      <c r="A81" s="17" t="inlineStr">
        <is>
          <t>HSK-0080</t>
        </is>
      </c>
      <c r="B81" s="17" t="inlineStr">
        <is>
          <t>nectavita-jaborandi-anticaida-35-ml</t>
        </is>
      </c>
      <c r="C81" s="17" t="n"/>
      <c r="D81" s="17" t="inlineStr">
        <is>
          <t>Haskell</t>
        </is>
      </c>
      <c r="E81" s="17" t="inlineStr">
        <is>
          <t>Nectavita Jaborandi Antiqueda 35ml</t>
        </is>
      </c>
      <c r="F81" s="17" t="inlineStr">
        <is>
          <t>Nectavita Jaborandi Anticaida 35 ml</t>
        </is>
      </c>
      <c r="G81" s="17" t="inlineStr">
        <is>
          <t>Jaborandi Antiqueda</t>
        </is>
      </c>
      <c r="H81" s="17" t="inlineStr">
        <is>
          <t>Tratamentos Capilares</t>
        </is>
      </c>
      <c r="I81" s="17" t="inlineStr">
        <is>
          <t>Tratamientos capilares</t>
        </is>
      </c>
      <c r="J81" s="17" t="inlineStr">
        <is>
          <t>Anti-queda</t>
        </is>
      </c>
      <c r="K81" s="17" t="inlineStr">
        <is>
          <t>Anticaida</t>
        </is>
      </c>
      <c r="L81" s="17" t="inlineStr">
        <is>
          <t>Nectavita</t>
        </is>
      </c>
      <c r="M81" s="17" t="inlineStr">
        <is>
          <t>Potenciador pre-champu</t>
        </is>
      </c>
      <c r="N81" s="17" t="inlineStr">
        <is>
          <t>35 ml</t>
        </is>
      </c>
      <c r="O81" s="17" t="n">
        <v>35</v>
      </c>
      <c r="P81" s="17" t="inlineStr">
        <is>
          <t>ml</t>
        </is>
      </c>
      <c r="Q81" s="18" t="n">
        <v>25.9</v>
      </c>
      <c r="R81" s="18" t="n"/>
      <c r="S81" s="19">
        <f>IF(ISBLANK(R81),0,IFERROR((Q81-R81)/Q81,0))</f>
        <v/>
      </c>
      <c r="T81" s="17">
        <f>R81&lt;&gt;""</f>
        <v/>
      </c>
      <c r="U81" s="17">
        <f>TRUE()</f>
        <v/>
      </c>
      <c r="V81" s="17" t="n"/>
      <c r="W81" s="17" t="inlineStr">
        <is>
          <t>Potenciador pre-champu (nectavita) de la linea Jaborandi Antiqueda, para usar antes del lavado: ayuda a reducir la caida y estimula el crecimiento saludable desde la raiz.</t>
        </is>
      </c>
      <c r="X81" s="17" t="n"/>
      <c r="Y81" s="17" t="inlineStr">
        <is>
          <t>Prepara el cuero cabelludo antes del champu | Potencia el efecto del tratamiento</t>
        </is>
      </c>
      <c r="Z81" s="17" t="n"/>
      <c r="AA81" s="17" t="inlineStr">
        <is>
          <t>Pre-champu</t>
        </is>
      </c>
      <c r="AB81" s="17" t="n"/>
      <c r="AC81" s="17" t="inlineStr">
        <is>
          <t>Aplicar sobre el cuero cabelludo antes del champu, masajear y proceder con el lavado habitual.</t>
        </is>
      </c>
      <c r="AD81" s="17" t="inlineStr">
        <is>
          <t>Extrato de jaborandi | Extrato de nogueira | Extrato de arruda</t>
        </is>
      </c>
      <c r="AE81" s="17" t="inlineStr">
        <is>
          <t>Extracto de jaborandi | Extracto de nogal | Extracto de ruda</t>
        </is>
      </c>
      <c r="AF81" s="17" t="n"/>
      <c r="AG81" s="17" t="n"/>
      <c r="AH81" s="20" t="inlineStr">
        <is>
          <t>nectavita-jaborandi-antiqueda-35ml.webp</t>
        </is>
      </c>
      <c r="AI81" s="17" t="n"/>
      <c r="AJ81" s="17" t="inlineStr">
        <is>
          <t>Cabello con caida, cabello graso o debilitado</t>
        </is>
      </c>
      <c r="AK81" s="17" t="inlineStr">
        <is>
          <t>https://haskellcosmeticos.com.br/tratamentos-capilares/linha-jaborandi-haskell/</t>
        </is>
      </c>
      <c r="AL81" s="17" t="inlineStr">
        <is>
          <t>2026-07-24</t>
        </is>
      </c>
      <c r="AM81" s="21">
        <f>IF(ISBLANK(Q81),"",Q81*Parametros_PEN!$B$2)</f>
        <v/>
      </c>
      <c r="AN81" s="21">
        <f>IF(ISBLANK(Q81),"",Q81*Parametros_PEN!$B$2*(1+Parametros_PEN!$B$3))</f>
        <v/>
      </c>
      <c r="AO81" s="21">
        <f>IF(ISBLANK(R81),"",R81*Parametros_PEN!$B$2)</f>
        <v/>
      </c>
      <c r="AP81" s="21">
        <f>IF(ISBLANK(R81),"",R81*Parametros_PEN!$B$2*(1+Parametros_PEN!$B$3))</f>
        <v/>
      </c>
    </row>
    <row r="82" ht="35.05" customHeight="1" s="15">
      <c r="A82" s="17" t="inlineStr">
        <is>
          <t>HSK-0081</t>
        </is>
      </c>
      <c r="B82" s="17" t="inlineStr">
        <is>
          <t>leave-in-disciplinante-liso-con-fuerza-150-g</t>
        </is>
      </c>
      <c r="C82" s="17" t="n"/>
      <c r="D82" s="17" t="inlineStr">
        <is>
          <t>Haskell</t>
        </is>
      </c>
      <c r="E82" s="17" t="inlineStr">
        <is>
          <t>Leave In Disciplinante Liso com Forca 150g</t>
        </is>
      </c>
      <c r="F82" s="17" t="inlineStr">
        <is>
          <t>Leave-in disciplinante Liso con Fuerza 150 g</t>
        </is>
      </c>
      <c r="G82" s="17" t="inlineStr">
        <is>
          <t>Liso com Forca</t>
        </is>
      </c>
      <c r="H82" s="17" t="inlineStr">
        <is>
          <t>Tratamentos Capilares</t>
        </is>
      </c>
      <c r="I82" s="17" t="inlineStr">
        <is>
          <t>Tratamientos capilares</t>
        </is>
      </c>
      <c r="J82" s="17" t="inlineStr">
        <is>
          <t>Alinhamento e controle de frizz</t>
        </is>
      </c>
      <c r="K82" s="17" t="inlineStr">
        <is>
          <t>Alineado y control de frizz</t>
        </is>
      </c>
      <c r="L82" s="17" t="inlineStr">
        <is>
          <t>Leave In</t>
        </is>
      </c>
      <c r="M82" s="17" t="inlineStr">
        <is>
          <t>Leave-in</t>
        </is>
      </c>
      <c r="N82" s="17" t="inlineStr">
        <is>
          <t>150 g</t>
        </is>
      </c>
      <c r="O82" s="17" t="n">
        <v>150</v>
      </c>
      <c r="P82" s="17" t="inlineStr">
        <is>
          <t>g</t>
        </is>
      </c>
      <c r="Q82" s="18" t="n">
        <v>59.9</v>
      </c>
      <c r="R82" s="18" t="n"/>
      <c r="S82" s="19">
        <f>IF(ISBLANK(R82),0,IFERROR((Q82-R82)/Q82,0))</f>
        <v/>
      </c>
      <c r="T82" s="17">
        <f>R82&lt;&gt;""</f>
        <v/>
      </c>
      <c r="U82" s="17">
        <f>TRUE()</f>
        <v/>
      </c>
      <c r="V82" s="17" t="n"/>
      <c r="W82" s="17" t="inlineStr">
        <is>
          <t>Leave-in sin enjuague de la linea Liso com Forca que facilita el peinado: alinea los hilos, reduce el frizz y prolonga el efecto liso de quimicas o alisados.</t>
        </is>
      </c>
      <c r="X82" s="17" t="n"/>
      <c r="Y82" s="17" t="inlineStr">
        <is>
          <t>Facilita el peinado | Reduce el frizz | Protege del calor</t>
        </is>
      </c>
      <c r="Z82" s="17" t="n"/>
      <c r="AA82" s="17" t="inlineStr">
        <is>
          <t>Leave-in</t>
        </is>
      </c>
      <c r="AB82" s="17" t="n"/>
      <c r="AC82" s="17" t="inlineStr">
        <is>
          <t>Aplicar sobre el cabello limpio y humedo, sin enjuagar, y finalizar como se prefiera.</t>
        </is>
      </c>
      <c r="AD82" s="17" t="inlineStr">
        <is>
          <t>Blend de acidos | Acucar | Biotina</t>
        </is>
      </c>
      <c r="AE82" s="17" t="inlineStr">
        <is>
          <t>Blend de acidos | Azucar | Biotina</t>
        </is>
      </c>
      <c r="AF82" s="17" t="n"/>
      <c r="AG82" s="17" t="n"/>
      <c r="AH82" s="20" t="inlineStr">
        <is>
          <t>leave-in-disciplinante-liso-com-forca-150g.webp</t>
        </is>
      </c>
      <c r="AI82" s="17" t="n"/>
      <c r="AJ82" s="17" t="inlineStr">
        <is>
          <t>Cabello liso natural o alisado que necesita alineacion y fuerza</t>
        </is>
      </c>
      <c r="AK82" s="17" t="inlineStr">
        <is>
          <t>https://haskellcosmeticos.com.br/tratamentos-capilares/linha-liso-com-forca-haskell/</t>
        </is>
      </c>
      <c r="AL82" s="17" t="inlineStr">
        <is>
          <t>2026-07-24</t>
        </is>
      </c>
      <c r="AM82" s="21">
        <f>IF(ISBLANK(Q82),"",Q82*Parametros_PEN!$B$2)</f>
        <v/>
      </c>
      <c r="AN82" s="21">
        <f>IF(ISBLANK(Q82),"",Q82*Parametros_PEN!$B$2*(1+Parametros_PEN!$B$3))</f>
        <v/>
      </c>
      <c r="AO82" s="21">
        <f>IF(ISBLANK(R82),"",R82*Parametros_PEN!$B$2)</f>
        <v/>
      </c>
      <c r="AP82" s="21">
        <f>IF(ISBLANK(R82),"",R82*Parametros_PEN!$B$2*(1+Parametros_PEN!$B$3))</f>
        <v/>
      </c>
    </row>
    <row r="83" ht="46.25" customHeight="1" s="15">
      <c r="A83" s="17" t="inlineStr">
        <is>
          <t>HSK-0082</t>
        </is>
      </c>
      <c r="B83" s="17" t="inlineStr">
        <is>
          <t>champu-disciplinante-liso-con-fuerza-300-ml</t>
        </is>
      </c>
      <c r="C83" s="17" t="n"/>
      <c r="D83" s="17" t="inlineStr">
        <is>
          <t>Haskell</t>
        </is>
      </c>
      <c r="E83" s="17" t="inlineStr">
        <is>
          <t>Shampoo Disciplinante Liso com Forca 300ml</t>
        </is>
      </c>
      <c r="F83" s="17" t="inlineStr">
        <is>
          <t>Champu disciplinante Liso con Fuerza 300 ml</t>
        </is>
      </c>
      <c r="G83" s="17" t="inlineStr">
        <is>
          <t>Liso com Forca</t>
        </is>
      </c>
      <c r="H83" s="17" t="inlineStr">
        <is>
          <t>Tratamentos Capilares</t>
        </is>
      </c>
      <c r="I83" s="17" t="inlineStr">
        <is>
          <t>Tratamientos capilares</t>
        </is>
      </c>
      <c r="J83" s="17" t="inlineStr">
        <is>
          <t>Alinhamento e controle de frizz</t>
        </is>
      </c>
      <c r="K83" s="17" t="inlineStr">
        <is>
          <t>Alineado y control de frizz</t>
        </is>
      </c>
      <c r="L83" s="17" t="inlineStr">
        <is>
          <t>Shampoo</t>
        </is>
      </c>
      <c r="M83" s="17" t="inlineStr">
        <is>
          <t>Champu</t>
        </is>
      </c>
      <c r="N83" s="17" t="inlineStr">
        <is>
          <t>300 ml</t>
        </is>
      </c>
      <c r="O83" s="17" t="n">
        <v>300</v>
      </c>
      <c r="P83" s="17" t="inlineStr">
        <is>
          <t>ml</t>
        </is>
      </c>
      <c r="Q83" s="18" t="n">
        <v>62.9</v>
      </c>
      <c r="R83" s="18" t="n"/>
      <c r="S83" s="19">
        <f>IF(ISBLANK(R83),0,IFERROR((Q83-R83)/Q83,0))</f>
        <v/>
      </c>
      <c r="T83" s="17">
        <f>R83&lt;&gt;""</f>
        <v/>
      </c>
      <c r="U83" s="17">
        <f>TRUE()</f>
        <v/>
      </c>
      <c r="V83" s="17" t="n"/>
      <c r="W83" s="17" t="inlineStr">
        <is>
          <t>Champu de limpieza suave de la linea Liso com Forca, que prepara el cabello para el tratamiento: alinea los hilos, reduce el frizz y prolonga el efecto liso de quimicas o alisados.</t>
        </is>
      </c>
      <c r="X83" s="17" t="n"/>
      <c r="Y83" s="17" t="inlineStr">
        <is>
          <t>Limpieza suave sin resecar | Prepara el cabello para el resto de la rutina | Respeta el equilibrio del cuero cabelludo</t>
        </is>
      </c>
      <c r="Z83" s="17" t="n"/>
      <c r="AA83" s="17" t="inlineStr">
        <is>
          <t>Limpiador suave</t>
        </is>
      </c>
      <c r="AB83" s="17" t="n"/>
      <c r="AC83" s="17" t="inlineStr">
        <is>
          <t>Aplicar sobre el cabello mojado, masajear el cuero cabelludo con movimientos suaves y enjuagar bien.</t>
        </is>
      </c>
      <c r="AD83" s="17" t="inlineStr">
        <is>
          <t>Blend de acidos | Acucar | Biotina</t>
        </is>
      </c>
      <c r="AE83" s="17" t="inlineStr">
        <is>
          <t>Blend de acidos | Azucar | Biotina</t>
        </is>
      </c>
      <c r="AF83" s="17" t="n"/>
      <c r="AG83" s="17" t="n"/>
      <c r="AH83" s="20" t="inlineStr">
        <is>
          <t>shampoo-disciplinante-liso-com-forca-300ml.webp</t>
        </is>
      </c>
      <c r="AI83" s="17" t="n"/>
      <c r="AJ83" s="17" t="inlineStr">
        <is>
          <t>Cabello liso natural o alisado que necesita alineacion y fuerza</t>
        </is>
      </c>
      <c r="AK83" s="17" t="inlineStr">
        <is>
          <t>https://haskellcosmeticos.com.br/tratamentos-capilares/linha-liso-com-forca-haskell/</t>
        </is>
      </c>
      <c r="AL83" s="17" t="inlineStr">
        <is>
          <t>2026-07-24</t>
        </is>
      </c>
      <c r="AM83" s="21">
        <f>IF(ISBLANK(Q83),"",Q83*Parametros_PEN!$B$2)</f>
        <v/>
      </c>
      <c r="AN83" s="21">
        <f>IF(ISBLANK(Q83),"",Q83*Parametros_PEN!$B$2*(1+Parametros_PEN!$B$3))</f>
        <v/>
      </c>
      <c r="AO83" s="21">
        <f>IF(ISBLANK(R83),"",R83*Parametros_PEN!$B$2)</f>
        <v/>
      </c>
      <c r="AP83" s="21">
        <f>IF(ISBLANK(R83),"",R83*Parametros_PEN!$B$2*(1+Parametros_PEN!$B$3))</f>
        <v/>
      </c>
    </row>
    <row r="84" ht="46.25" customHeight="1" s="15">
      <c r="A84" s="17" t="inlineStr">
        <is>
          <t>HSK-0083</t>
        </is>
      </c>
      <c r="B84" s="17" t="inlineStr">
        <is>
          <t>champu-disciplinante-liso-con-fuerza-500-ml</t>
        </is>
      </c>
      <c r="C84" s="17" t="n"/>
      <c r="D84" s="17" t="inlineStr">
        <is>
          <t>Haskell</t>
        </is>
      </c>
      <c r="E84" s="17" t="inlineStr">
        <is>
          <t>Shampoo Disciplinante Liso com Forca 500ml</t>
        </is>
      </c>
      <c r="F84" s="17" t="inlineStr">
        <is>
          <t>Champu disciplinante Liso con Fuerza 500 ml</t>
        </is>
      </c>
      <c r="G84" s="17" t="inlineStr">
        <is>
          <t>Liso com Forca</t>
        </is>
      </c>
      <c r="H84" s="17" t="inlineStr">
        <is>
          <t>Tratamentos Capilares</t>
        </is>
      </c>
      <c r="I84" s="17" t="inlineStr">
        <is>
          <t>Tratamientos capilares</t>
        </is>
      </c>
      <c r="J84" s="17" t="inlineStr">
        <is>
          <t>Alinhamento e controle de frizz</t>
        </is>
      </c>
      <c r="K84" s="17" t="inlineStr">
        <is>
          <t>Alineado y control de frizz</t>
        </is>
      </c>
      <c r="L84" s="17" t="inlineStr">
        <is>
          <t>Shampoo</t>
        </is>
      </c>
      <c r="M84" s="17" t="inlineStr">
        <is>
          <t>Champu</t>
        </is>
      </c>
      <c r="N84" s="17" t="inlineStr">
        <is>
          <t>500 ml</t>
        </is>
      </c>
      <c r="O84" s="17" t="n">
        <v>500</v>
      </c>
      <c r="P84" s="17" t="inlineStr">
        <is>
          <t>ml</t>
        </is>
      </c>
      <c r="Q84" s="18" t="n">
        <v>84.90000000000001</v>
      </c>
      <c r="R84" s="18" t="n"/>
      <c r="S84" s="19">
        <f>IF(ISBLANK(R84),0,IFERROR((Q84-R84)/Q84,0))</f>
        <v/>
      </c>
      <c r="T84" s="17">
        <f>R84&lt;&gt;""</f>
        <v/>
      </c>
      <c r="U84" s="17">
        <f>TRUE()</f>
        <v/>
      </c>
      <c r="V84" s="17" t="n"/>
      <c r="W84" s="17" t="inlineStr">
        <is>
          <t>Champu de limpieza suave de la linea Liso com Forca, que prepara el cabello para el tratamiento: alinea los hilos, reduce el frizz y prolonga el efecto liso de quimicas o alisados.</t>
        </is>
      </c>
      <c r="X84" s="17" t="n"/>
      <c r="Y84" s="17" t="inlineStr">
        <is>
          <t>Limpieza suave sin resecar | Prepara el cabello para el resto de la rutina | Respeta el equilibrio del cuero cabelludo</t>
        </is>
      </c>
      <c r="Z84" s="17" t="n"/>
      <c r="AA84" s="17" t="inlineStr">
        <is>
          <t>Limpiador suave</t>
        </is>
      </c>
      <c r="AB84" s="17" t="n"/>
      <c r="AC84" s="17" t="inlineStr">
        <is>
          <t>Aplicar sobre el cabello mojado, masajear el cuero cabelludo con movimientos suaves y enjuagar bien.</t>
        </is>
      </c>
      <c r="AD84" s="17" t="inlineStr">
        <is>
          <t>Blend de acidos | Acucar | Biotina</t>
        </is>
      </c>
      <c r="AE84" s="17" t="inlineStr">
        <is>
          <t>Blend de acidos | Azucar | Biotina</t>
        </is>
      </c>
      <c r="AF84" s="17" t="n"/>
      <c r="AG84" s="17" t="n"/>
      <c r="AH84" s="20" t="inlineStr">
        <is>
          <t>shampoo-disciplinante-liso-com-forca-500ml.webp</t>
        </is>
      </c>
      <c r="AI84" s="17" t="n"/>
      <c r="AJ84" s="17" t="inlineStr">
        <is>
          <t>Cabello liso natural o alisado que necesita alineacion y fuerza</t>
        </is>
      </c>
      <c r="AK84" s="17" t="inlineStr">
        <is>
          <t>https://haskellcosmeticos.com.br/tratamentos-capilares/linha-liso-com-forca-haskell/</t>
        </is>
      </c>
      <c r="AL84" s="17" t="inlineStr">
        <is>
          <t>2026-07-24</t>
        </is>
      </c>
      <c r="AM84" s="21">
        <f>IF(ISBLANK(Q84),"",Q84*Parametros_PEN!$B$2)</f>
        <v/>
      </c>
      <c r="AN84" s="21">
        <f>IF(ISBLANK(Q84),"",Q84*Parametros_PEN!$B$2*(1+Parametros_PEN!$B$3))</f>
        <v/>
      </c>
      <c r="AO84" s="21">
        <f>IF(ISBLANK(R84),"",R84*Parametros_PEN!$B$2)</f>
        <v/>
      </c>
      <c r="AP84" s="21">
        <f>IF(ISBLANK(R84),"",R84*Parametros_PEN!$B$2*(1+Parametros_PEN!$B$3))</f>
        <v/>
      </c>
    </row>
    <row r="85" ht="46.25" customHeight="1" s="15">
      <c r="A85" s="17" t="inlineStr">
        <is>
          <t>HSK-0084</t>
        </is>
      </c>
      <c r="B85" s="17" t="inlineStr">
        <is>
          <t>acondicionador-disciplinante-liso-con-fuerza-300-ml</t>
        </is>
      </c>
      <c r="C85" s="17" t="n"/>
      <c r="D85" s="17" t="inlineStr">
        <is>
          <t>Haskell</t>
        </is>
      </c>
      <c r="E85" s="17" t="inlineStr">
        <is>
          <t>Condicionador Disciplinante Liso com Forca 300ml</t>
        </is>
      </c>
      <c r="F85" s="17" t="inlineStr">
        <is>
          <t>Acondicionador disciplinante Liso con Fuerza 300 ml</t>
        </is>
      </c>
      <c r="G85" s="17" t="inlineStr">
        <is>
          <t>Liso com Forca</t>
        </is>
      </c>
      <c r="H85" s="17" t="inlineStr">
        <is>
          <t>Tratamentos Capilares</t>
        </is>
      </c>
      <c r="I85" s="17" t="inlineStr">
        <is>
          <t>Tratamientos capilares</t>
        </is>
      </c>
      <c r="J85" s="17" t="inlineStr">
        <is>
          <t>Alinhamento e controle de frizz</t>
        </is>
      </c>
      <c r="K85" s="17" t="inlineStr">
        <is>
          <t>Alineado y control de frizz</t>
        </is>
      </c>
      <c r="L85" s="17" t="inlineStr">
        <is>
          <t>Condicionador</t>
        </is>
      </c>
      <c r="M85" s="17" t="inlineStr">
        <is>
          <t>Acondicionador</t>
        </is>
      </c>
      <c r="N85" s="17" t="inlineStr">
        <is>
          <t>300 ml</t>
        </is>
      </c>
      <c r="O85" s="17" t="n">
        <v>300</v>
      </c>
      <c r="P85" s="17" t="inlineStr">
        <is>
          <t>ml</t>
        </is>
      </c>
      <c r="Q85" s="18" t="n">
        <v>62.9</v>
      </c>
      <c r="R85" s="18" t="n"/>
      <c r="S85" s="19">
        <f>IF(ISBLANK(R85),0,IFERROR((Q85-R85)/Q85,0))</f>
        <v/>
      </c>
      <c r="T85" s="17">
        <f>R85&lt;&gt;""</f>
        <v/>
      </c>
      <c r="U85" s="17">
        <f>TRUE()</f>
        <v/>
      </c>
      <c r="V85" s="17" t="n"/>
      <c r="W85" s="17" t="inlineStr">
        <is>
          <t>Acondicionador de la linea Liso com Forca que facilita el desenredado y sella la cuticula: alinea los hilos, reduce el frizz y prolonga el efecto liso de quimicas o alisados.</t>
        </is>
      </c>
      <c r="X85" s="17" t="n"/>
      <c r="Y85" s="17" t="inlineStr">
        <is>
          <t>Facilita el desenredado | Sella la cuticula | Aporta suavidad y brillo</t>
        </is>
      </c>
      <c r="Z85" s="17" t="n"/>
      <c r="AA85" s="17" t="inlineStr">
        <is>
          <t>Acondicionador</t>
        </is>
      </c>
      <c r="AB85" s="17" t="n"/>
      <c r="AC85" s="17" t="inlineStr">
        <is>
          <t>Aplicar en el largo y las puntas del cabello despues del champu, dejar actuar unos minutos y enjuagar.</t>
        </is>
      </c>
      <c r="AD85" s="17" t="inlineStr">
        <is>
          <t>Blend de acidos | Acucar | Biotina</t>
        </is>
      </c>
      <c r="AE85" s="17" t="inlineStr">
        <is>
          <t>Blend de acidos | Azucar | Biotina</t>
        </is>
      </c>
      <c r="AF85" s="17" t="n"/>
      <c r="AG85" s="17" t="n"/>
      <c r="AH85" s="20" t="inlineStr">
        <is>
          <t>condicionador-disciplinante-liso-com-forca-300ml.webp</t>
        </is>
      </c>
      <c r="AI85" s="17" t="n"/>
      <c r="AJ85" s="17" t="inlineStr">
        <is>
          <t>Cabello liso natural o alisado que necesita alineacion y fuerza</t>
        </is>
      </c>
      <c r="AK85" s="17" t="inlineStr">
        <is>
          <t>https://haskellcosmeticos.com.br/tratamentos-capilares/linha-liso-com-forca-haskell/</t>
        </is>
      </c>
      <c r="AL85" s="17" t="inlineStr">
        <is>
          <t>2026-07-24</t>
        </is>
      </c>
      <c r="AM85" s="21">
        <f>IF(ISBLANK(Q85),"",Q85*Parametros_PEN!$B$2)</f>
        <v/>
      </c>
      <c r="AN85" s="21">
        <f>IF(ISBLANK(Q85),"",Q85*Parametros_PEN!$B$2*(1+Parametros_PEN!$B$3))</f>
        <v/>
      </c>
      <c r="AO85" s="21">
        <f>IF(ISBLANK(R85),"",R85*Parametros_PEN!$B$2)</f>
        <v/>
      </c>
      <c r="AP85" s="21">
        <f>IF(ISBLANK(R85),"",R85*Parametros_PEN!$B$2*(1+Parametros_PEN!$B$3))</f>
        <v/>
      </c>
    </row>
    <row r="86" ht="46.25" customHeight="1" s="15">
      <c r="A86" s="17" t="inlineStr">
        <is>
          <t>HSK-0085</t>
        </is>
      </c>
      <c r="B86" s="17" t="inlineStr">
        <is>
          <t>acondicionador-disciplinante-liso-con-fuerza-500-ml</t>
        </is>
      </c>
      <c r="C86" s="17" t="n"/>
      <c r="D86" s="17" t="inlineStr">
        <is>
          <t>Haskell</t>
        </is>
      </c>
      <c r="E86" s="17" t="inlineStr">
        <is>
          <t>Condicionador Disciplinante Liso com Forca 500ml</t>
        </is>
      </c>
      <c r="F86" s="17" t="inlineStr">
        <is>
          <t>Acondicionador disciplinante Liso con Fuerza 500 ml</t>
        </is>
      </c>
      <c r="G86" s="17" t="inlineStr">
        <is>
          <t>Liso com Forca</t>
        </is>
      </c>
      <c r="H86" s="17" t="inlineStr">
        <is>
          <t>Tratamentos Capilares</t>
        </is>
      </c>
      <c r="I86" s="17" t="inlineStr">
        <is>
          <t>Tratamientos capilares</t>
        </is>
      </c>
      <c r="J86" s="17" t="inlineStr">
        <is>
          <t>Alinhamento e controle de frizz</t>
        </is>
      </c>
      <c r="K86" s="17" t="inlineStr">
        <is>
          <t>Alineado y control de frizz</t>
        </is>
      </c>
      <c r="L86" s="17" t="inlineStr">
        <is>
          <t>Condicionador</t>
        </is>
      </c>
      <c r="M86" s="17" t="inlineStr">
        <is>
          <t>Acondicionador</t>
        </is>
      </c>
      <c r="N86" s="17" t="inlineStr">
        <is>
          <t>500 ml</t>
        </is>
      </c>
      <c r="O86" s="17" t="n">
        <v>500</v>
      </c>
      <c r="P86" s="17" t="inlineStr">
        <is>
          <t>ml</t>
        </is>
      </c>
      <c r="Q86" s="18" t="n">
        <v>84.90000000000001</v>
      </c>
      <c r="R86" s="18" t="n"/>
      <c r="S86" s="19">
        <f>IF(ISBLANK(R86),0,IFERROR((Q86-R86)/Q86,0))</f>
        <v/>
      </c>
      <c r="T86" s="17">
        <f>R86&lt;&gt;""</f>
        <v/>
      </c>
      <c r="U86" s="17">
        <f>TRUE()</f>
        <v/>
      </c>
      <c r="V86" s="17" t="n"/>
      <c r="W86" s="17" t="inlineStr">
        <is>
          <t>Acondicionador de la linea Liso com Forca que facilita el desenredado y sella la cuticula: alinea los hilos, reduce el frizz y prolonga el efecto liso de quimicas o alisados.</t>
        </is>
      </c>
      <c r="X86" s="17" t="n"/>
      <c r="Y86" s="17" t="inlineStr">
        <is>
          <t>Facilita el desenredado | Sella la cuticula | Aporta suavidad y brillo</t>
        </is>
      </c>
      <c r="Z86" s="17" t="n"/>
      <c r="AA86" s="17" t="inlineStr">
        <is>
          <t>Acondicionador</t>
        </is>
      </c>
      <c r="AB86" s="17" t="n"/>
      <c r="AC86" s="17" t="inlineStr">
        <is>
          <t>Aplicar en el largo y las puntas del cabello despues del champu, dejar actuar unos minutos y enjuagar.</t>
        </is>
      </c>
      <c r="AD86" s="17" t="inlineStr">
        <is>
          <t>Blend de acidos | Acucar | Biotina</t>
        </is>
      </c>
      <c r="AE86" s="17" t="inlineStr">
        <is>
          <t>Blend de acidos | Azucar | Biotina</t>
        </is>
      </c>
      <c r="AF86" s="17" t="n"/>
      <c r="AG86" s="17" t="n"/>
      <c r="AH86" s="20" t="inlineStr">
        <is>
          <t>condicionador-disciplinante-liso-com-forca-500ml.webp</t>
        </is>
      </c>
      <c r="AI86" s="17" t="n"/>
      <c r="AJ86" s="17" t="inlineStr">
        <is>
          <t>Cabello liso natural o alisado que necesita alineacion y fuerza</t>
        </is>
      </c>
      <c r="AK86" s="17" t="inlineStr">
        <is>
          <t>https://haskellcosmeticos.com.br/tratamentos-capilares/linha-liso-com-forca-haskell/</t>
        </is>
      </c>
      <c r="AL86" s="17" t="inlineStr">
        <is>
          <t>2026-07-24</t>
        </is>
      </c>
      <c r="AM86" s="21">
        <f>IF(ISBLANK(Q86),"",Q86*Parametros_PEN!$B$2)</f>
        <v/>
      </c>
      <c r="AN86" s="21">
        <f>IF(ISBLANK(Q86),"",Q86*Parametros_PEN!$B$2*(1+Parametros_PEN!$B$3))</f>
        <v/>
      </c>
      <c r="AO86" s="21">
        <f>IF(ISBLANK(R86),"",R86*Parametros_PEN!$B$2)</f>
        <v/>
      </c>
      <c r="AP86" s="21">
        <f>IF(ISBLANK(R86),"",R86*Parametros_PEN!$B$2*(1+Parametros_PEN!$B$3))</f>
        <v/>
      </c>
    </row>
    <row r="87" ht="46.25" customHeight="1" s="15">
      <c r="A87" s="17" t="inlineStr">
        <is>
          <t>HSK-0086</t>
        </is>
      </c>
      <c r="B87" s="17" t="inlineStr">
        <is>
          <t>mascarilla-disciplinante-liso-con-fuerza-300-g</t>
        </is>
      </c>
      <c r="C87" s="17" t="n"/>
      <c r="D87" s="17" t="inlineStr">
        <is>
          <t>Haskell</t>
        </is>
      </c>
      <c r="E87" s="17" t="inlineStr">
        <is>
          <t>Mascara Disciplinante Liso com Forca 300g</t>
        </is>
      </c>
      <c r="F87" s="17" t="inlineStr">
        <is>
          <t>Mascarilla disciplinante Liso con Fuerza 300 g</t>
        </is>
      </c>
      <c r="G87" s="17" t="inlineStr">
        <is>
          <t>Liso com Forca</t>
        </is>
      </c>
      <c r="H87" s="17" t="inlineStr">
        <is>
          <t>Tratamentos Capilares</t>
        </is>
      </c>
      <c r="I87" s="17" t="inlineStr">
        <is>
          <t>Tratamientos capilares</t>
        </is>
      </c>
      <c r="J87" s="17" t="inlineStr">
        <is>
          <t>Alinhamento e controle de frizz</t>
        </is>
      </c>
      <c r="K87" s="17" t="inlineStr">
        <is>
          <t>Alineado y control de frizz</t>
        </is>
      </c>
      <c r="L87" s="17" t="inlineStr">
        <is>
          <t>Mascara de Tratamento</t>
        </is>
      </c>
      <c r="M87" s="17" t="inlineStr">
        <is>
          <t>Mascarilla de tratamiento</t>
        </is>
      </c>
      <c r="N87" s="17" t="inlineStr">
        <is>
          <t>300 g</t>
        </is>
      </c>
      <c r="O87" s="17" t="n">
        <v>300</v>
      </c>
      <c r="P87" s="17" t="inlineStr">
        <is>
          <t>g</t>
        </is>
      </c>
      <c r="Q87" s="18" t="n">
        <v>74.90000000000001</v>
      </c>
      <c r="R87" s="18" t="n"/>
      <c r="S87" s="19">
        <f>IF(ISBLANK(R87),0,IFERROR((Q87-R87)/Q87,0))</f>
        <v/>
      </c>
      <c r="T87" s="17">
        <f>R87&lt;&gt;""</f>
        <v/>
      </c>
      <c r="U87" s="17">
        <f>TRUE()</f>
        <v/>
      </c>
      <c r="V87" s="17" t="n"/>
      <c r="W87" s="17" t="inlineStr">
        <is>
          <t>Mascarilla de tratamiento concentrada de la linea Liso com Forca, de uso posterior al champu: alinea los hilos, reduce el frizz y prolonga el efecto liso de quimicas o alisados.</t>
        </is>
      </c>
      <c r="X87" s="17" t="n"/>
      <c r="Y87" s="17" t="inlineStr">
        <is>
          <t>Tratamiento concentrado | Actua en profundidad sobre la fibra capilar | Refuerza el resultado de la linea</t>
        </is>
      </c>
      <c r="Z87" s="17" t="n"/>
      <c r="AA87" s="17" t="inlineStr">
        <is>
          <t>Tratamiento intensivo</t>
        </is>
      </c>
      <c r="AB87" s="17" t="n"/>
      <c r="AC87" s="17" t="inlineStr">
        <is>
          <t>Aplicar mechon por mechon despues del champu, dejar actuar de 3 a 5 minutos y enjuagar bien.</t>
        </is>
      </c>
      <c r="AD87" s="17" t="inlineStr">
        <is>
          <t>Blend de acidos | Acucar | Biotina</t>
        </is>
      </c>
      <c r="AE87" s="17" t="inlineStr">
        <is>
          <t>Blend de acidos | Azucar | Biotina</t>
        </is>
      </c>
      <c r="AF87" s="17" t="n"/>
      <c r="AG87" s="17" t="n"/>
      <c r="AH87" s="20" t="inlineStr">
        <is>
          <t>mascara-disciplinante-liso-com-forca-300g.webp</t>
        </is>
      </c>
      <c r="AI87" s="17" t="n"/>
      <c r="AJ87" s="17" t="inlineStr">
        <is>
          <t>Cabello liso natural o alisado que necesita alineacion y fuerza</t>
        </is>
      </c>
      <c r="AK87" s="17" t="inlineStr">
        <is>
          <t>https://haskellcosmeticos.com.br/tratamentos-capilares/linha-liso-com-forca-haskell/</t>
        </is>
      </c>
      <c r="AL87" s="17" t="inlineStr">
        <is>
          <t>2026-07-24</t>
        </is>
      </c>
      <c r="AM87" s="21">
        <f>IF(ISBLANK(Q87),"",Q87*Parametros_PEN!$B$2)</f>
        <v/>
      </c>
      <c r="AN87" s="21">
        <f>IF(ISBLANK(Q87),"",Q87*Parametros_PEN!$B$2*(1+Parametros_PEN!$B$3))</f>
        <v/>
      </c>
      <c r="AO87" s="21">
        <f>IF(ISBLANK(R87),"",R87*Parametros_PEN!$B$2)</f>
        <v/>
      </c>
      <c r="AP87" s="21">
        <f>IF(ISBLANK(R87),"",R87*Parametros_PEN!$B$2*(1+Parametros_PEN!$B$3))</f>
        <v/>
      </c>
    </row>
    <row r="88" ht="46.25" customHeight="1" s="15">
      <c r="A88" s="17" t="inlineStr">
        <is>
          <t>HSK-0087</t>
        </is>
      </c>
      <c r="B88" s="17" t="inlineStr">
        <is>
          <t>mascarilla-disciplinante-liso-con-fuerza-500-g</t>
        </is>
      </c>
      <c r="C88" s="17" t="n"/>
      <c r="D88" s="17" t="inlineStr">
        <is>
          <t>Haskell</t>
        </is>
      </c>
      <c r="E88" s="17" t="inlineStr">
        <is>
          <t>Mascara Disciplinante Liso com Forca 500g</t>
        </is>
      </c>
      <c r="F88" s="17" t="inlineStr">
        <is>
          <t>Mascarilla disciplinante Liso con Fuerza 500 g</t>
        </is>
      </c>
      <c r="G88" s="17" t="inlineStr">
        <is>
          <t>Liso com Forca</t>
        </is>
      </c>
      <c r="H88" s="17" t="inlineStr">
        <is>
          <t>Tratamentos Capilares</t>
        </is>
      </c>
      <c r="I88" s="17" t="inlineStr">
        <is>
          <t>Tratamientos capilares</t>
        </is>
      </c>
      <c r="J88" s="17" t="inlineStr">
        <is>
          <t>Alinhamento e controle de frizz</t>
        </is>
      </c>
      <c r="K88" s="17" t="inlineStr">
        <is>
          <t>Alineado y control de frizz</t>
        </is>
      </c>
      <c r="L88" s="17" t="inlineStr">
        <is>
          <t>Mascara de Tratamento</t>
        </is>
      </c>
      <c r="M88" s="17" t="inlineStr">
        <is>
          <t>Mascarilla de tratamiento</t>
        </is>
      </c>
      <c r="N88" s="17" t="inlineStr">
        <is>
          <t>500 g</t>
        </is>
      </c>
      <c r="O88" s="17" t="n">
        <v>500</v>
      </c>
      <c r="P88" s="17" t="inlineStr">
        <is>
          <t>g</t>
        </is>
      </c>
      <c r="Q88" s="18" t="n">
        <v>89.90000000000001</v>
      </c>
      <c r="R88" s="18" t="n"/>
      <c r="S88" s="19">
        <f>IF(ISBLANK(R88),0,IFERROR((Q88-R88)/Q88,0))</f>
        <v/>
      </c>
      <c r="T88" s="17">
        <f>R88&lt;&gt;""</f>
        <v/>
      </c>
      <c r="U88" s="17">
        <f>TRUE()</f>
        <v/>
      </c>
      <c r="V88" s="17" t="n"/>
      <c r="W88" s="17" t="inlineStr">
        <is>
          <t>Mascarilla de tratamiento concentrada de la linea Liso com Forca, de uso posterior al champu: alinea los hilos, reduce el frizz y prolonga el efecto liso de quimicas o alisados.</t>
        </is>
      </c>
      <c r="X88" s="17" t="n"/>
      <c r="Y88" s="17" t="inlineStr">
        <is>
          <t>Tratamiento concentrado | Actua en profundidad sobre la fibra capilar | Refuerza el resultado de la linea</t>
        </is>
      </c>
      <c r="Z88" s="17" t="n"/>
      <c r="AA88" s="17" t="inlineStr">
        <is>
          <t>Tratamiento intensivo</t>
        </is>
      </c>
      <c r="AB88" s="17" t="n"/>
      <c r="AC88" s="17" t="inlineStr">
        <is>
          <t>Aplicar mechon por mechon despues del champu, dejar actuar de 3 a 5 minutos y enjuagar bien.</t>
        </is>
      </c>
      <c r="AD88" s="17" t="inlineStr">
        <is>
          <t>Blend de acidos | Acucar | Biotina</t>
        </is>
      </c>
      <c r="AE88" s="17" t="inlineStr">
        <is>
          <t>Blend de acidos | Azucar | Biotina</t>
        </is>
      </c>
      <c r="AF88" s="17" t="n"/>
      <c r="AG88" s="17" t="n"/>
      <c r="AH88" s="20" t="inlineStr">
        <is>
          <t>mascara-disciplinante-liso-com-forca-500g.webp</t>
        </is>
      </c>
      <c r="AI88" s="17" t="n"/>
      <c r="AJ88" s="17" t="inlineStr">
        <is>
          <t>Cabello liso natural o alisado que necesita alineacion y fuerza</t>
        </is>
      </c>
      <c r="AK88" s="17" t="inlineStr">
        <is>
          <t>https://haskellcosmeticos.com.br/tratamentos-capilares/linha-liso-com-forca-haskell/</t>
        </is>
      </c>
      <c r="AL88" s="17" t="inlineStr">
        <is>
          <t>2026-07-24</t>
        </is>
      </c>
      <c r="AM88" s="21">
        <f>IF(ISBLANK(Q88),"",Q88*Parametros_PEN!$B$2)</f>
        <v/>
      </c>
      <c r="AN88" s="21">
        <f>IF(ISBLANK(Q88),"",Q88*Parametros_PEN!$B$2*(1+Parametros_PEN!$B$3))</f>
        <v/>
      </c>
      <c r="AO88" s="21">
        <f>IF(ISBLANK(R88),"",R88*Parametros_PEN!$B$2)</f>
        <v/>
      </c>
      <c r="AP88" s="21">
        <f>IF(ISBLANK(R88),"",R88*Parametros_PEN!$B$2*(1+Parametros_PEN!$B$3))</f>
        <v/>
      </c>
    </row>
    <row r="89" ht="46.25" customHeight="1" s="15">
      <c r="A89" s="17" t="inlineStr">
        <is>
          <t>HSK-0088</t>
        </is>
      </c>
      <c r="B89" s="17" t="inlineStr">
        <is>
          <t>champu-mandioca-300-ml</t>
        </is>
      </c>
      <c r="C89" s="17" t="n"/>
      <c r="D89" s="17" t="inlineStr">
        <is>
          <t>Haskell</t>
        </is>
      </c>
      <c r="E89" s="17" t="inlineStr">
        <is>
          <t>Shampoo Mandioca 300ml</t>
        </is>
      </c>
      <c r="F89" s="17" t="inlineStr">
        <is>
          <t>Champu Mandioca 300 ml</t>
        </is>
      </c>
      <c r="G89" s="17" t="inlineStr">
        <is>
          <t>Mandioca</t>
        </is>
      </c>
      <c r="H89" s="17" t="inlineStr">
        <is>
          <t>Tratamentos Capilares</t>
        </is>
      </c>
      <c r="I89" s="17" t="inlineStr">
        <is>
          <t>Tratamientos capilares</t>
        </is>
      </c>
      <c r="J89" s="17" t="inlineStr">
        <is>
          <t>Forca e hidratacao</t>
        </is>
      </c>
      <c r="K89" s="17" t="inlineStr">
        <is>
          <t>Fuerza e hidratacion</t>
        </is>
      </c>
      <c r="L89" s="17" t="inlineStr">
        <is>
          <t>Shampoo</t>
        </is>
      </c>
      <c r="M89" s="17" t="inlineStr">
        <is>
          <t>Champu</t>
        </is>
      </c>
      <c r="N89" s="17" t="inlineStr">
        <is>
          <t>300 ml</t>
        </is>
      </c>
      <c r="O89" s="17" t="n">
        <v>300</v>
      </c>
      <c r="P89" s="17" t="inlineStr">
        <is>
          <t>ml</t>
        </is>
      </c>
      <c r="Q89" s="18" t="n">
        <v>58.9</v>
      </c>
      <c r="R89" s="18" t="n"/>
      <c r="S89" s="19">
        <f>IF(ISBLANK(R89),0,IFERROR((Q89-R89)/Q89,0))</f>
        <v/>
      </c>
      <c r="T89" s="17">
        <f>R89&lt;&gt;""</f>
        <v/>
      </c>
      <c r="U89" s="17">
        <f>TRUE()</f>
        <v/>
      </c>
      <c r="V89" s="17" t="n"/>
      <c r="W89" s="17" t="inlineStr">
        <is>
          <t>Champu de limpieza suave de la linea Mandioca, que prepara el cabello para el tratamiento: fortalece el cabello opaco y reseco, estimulando el crecimiento saludable.</t>
        </is>
      </c>
      <c r="X89" s="17" t="n"/>
      <c r="Y89" s="17" t="inlineStr">
        <is>
          <t>Limpieza suave sin resecar | Prepara el cabello para el resto de la rutina | Respeta el equilibrio del cuero cabelludo</t>
        </is>
      </c>
      <c r="Z89" s="17" t="n"/>
      <c r="AA89" s="17" t="inlineStr">
        <is>
          <t>Limpiador suave</t>
        </is>
      </c>
      <c r="AB89" s="17" t="n"/>
      <c r="AC89" s="17" t="inlineStr">
        <is>
          <t>Aplicar sobre el cabello mojado, masajear el cuero cabelludo con movimientos suaves y enjuagar bien.</t>
        </is>
      </c>
      <c r="AD89" s="17" t="inlineStr">
        <is>
          <t>Extrato de mandioca</t>
        </is>
      </c>
      <c r="AE89" s="17" t="inlineStr">
        <is>
          <t>Extracto de mandioca (yuca)</t>
        </is>
      </c>
      <c r="AF89" s="17" t="n"/>
      <c r="AG89" s="17" t="n"/>
      <c r="AH89" s="20" t="inlineStr">
        <is>
          <t>shampoo-mandioca-haskell-300ml.webp</t>
        </is>
      </c>
      <c r="AI89" s="17" t="n"/>
      <c r="AJ89" s="17" t="inlineStr">
        <is>
          <t>Cabello opaco, reseco o con dificultad para crecer</t>
        </is>
      </c>
      <c r="AK89" s="17" t="inlineStr">
        <is>
          <t>https://haskellcosmeticos.com.br/tratamentos-capilares/linha-mandioca-haskell/</t>
        </is>
      </c>
      <c r="AL89" s="17" t="inlineStr">
        <is>
          <t>2026-07-24</t>
        </is>
      </c>
      <c r="AM89" s="21">
        <f>IF(ISBLANK(Q89),"",Q89*Parametros_PEN!$B$2)</f>
        <v/>
      </c>
      <c r="AN89" s="21">
        <f>IF(ISBLANK(Q89),"",Q89*Parametros_PEN!$B$2*(1+Parametros_PEN!$B$3))</f>
        <v/>
      </c>
      <c r="AO89" s="21">
        <f>IF(ISBLANK(R89),"",R89*Parametros_PEN!$B$2)</f>
        <v/>
      </c>
      <c r="AP89" s="21">
        <f>IF(ISBLANK(R89),"",R89*Parametros_PEN!$B$2*(1+Parametros_PEN!$B$3))</f>
        <v/>
      </c>
    </row>
    <row r="90" ht="46.25" customHeight="1" s="15">
      <c r="A90" s="17" t="inlineStr">
        <is>
          <t>HSK-0089</t>
        </is>
      </c>
      <c r="B90" s="17" t="inlineStr">
        <is>
          <t>champu-pre-matizacion-matiza-300-ml</t>
        </is>
      </c>
      <c r="C90" s="17" t="n"/>
      <c r="D90" s="17" t="inlineStr">
        <is>
          <t>Haskell</t>
        </is>
      </c>
      <c r="E90" s="17" t="inlineStr">
        <is>
          <t>Shampoo Pre-Matizacao Matiza+ 300ml</t>
        </is>
      </c>
      <c r="F90" s="17" t="inlineStr">
        <is>
          <t>Champu pre-matizacion Matiza+ 300 ml</t>
        </is>
      </c>
      <c r="G90" s="17" t="inlineStr">
        <is>
          <t>Matiza+</t>
        </is>
      </c>
      <c r="H90" s="17" t="inlineStr">
        <is>
          <t>Tratamentos Capilares</t>
        </is>
      </c>
      <c r="I90" s="17" t="inlineStr">
        <is>
          <t>Tratamientos capilares</t>
        </is>
      </c>
      <c r="J90" s="17" t="inlineStr">
        <is>
          <t>Matizacao violeta e ultravioleta</t>
        </is>
      </c>
      <c r="K90" s="17" t="inlineStr">
        <is>
          <t>Matizacion violeta y ultravioleta</t>
        </is>
      </c>
      <c r="L90" s="17" t="inlineStr">
        <is>
          <t>Shampoo</t>
        </is>
      </c>
      <c r="M90" s="17" t="inlineStr">
        <is>
          <t>Champu</t>
        </is>
      </c>
      <c r="N90" s="17" t="inlineStr">
        <is>
          <t>300 ml</t>
        </is>
      </c>
      <c r="O90" s="17" t="n">
        <v>300</v>
      </c>
      <c r="P90" s="17" t="inlineStr">
        <is>
          <t>ml</t>
        </is>
      </c>
      <c r="Q90" s="18" t="n">
        <v>68.90000000000001</v>
      </c>
      <c r="R90" s="18" t="n"/>
      <c r="S90" s="19">
        <f>IF(ISBLANK(R90),0,IFERROR((Q90-R90)/Q90,0))</f>
        <v/>
      </c>
      <c r="T90" s="17">
        <f>R90&lt;&gt;""</f>
        <v/>
      </c>
      <c r="U90" s="17">
        <f>TRUE()</f>
        <v/>
      </c>
      <c r="V90" s="17" t="n"/>
      <c r="W90" s="17" t="inlineStr">
        <is>
          <t>Champu de limpieza suave de la linea Matiza+, que prepara el cabello para el tratamiento: neutraliza tonos amarillentos o anaranjados en cabello rubio, decolorado o canoso.</t>
        </is>
      </c>
      <c r="X90" s="17" t="n"/>
      <c r="Y90" s="17" t="inlineStr">
        <is>
          <t>Limpieza suave sin resecar | Prepara el cabello para el resto de la rutina | Respeta el equilibrio del cuero cabelludo</t>
        </is>
      </c>
      <c r="Z90" s="17" t="n"/>
      <c r="AA90" s="17" t="inlineStr">
        <is>
          <t>Limpiador suave</t>
        </is>
      </c>
      <c r="AB90" s="17" t="n"/>
      <c r="AC90" s="17" t="inlineStr">
        <is>
          <t>Aplicar sobre el cabello mojado, masajear el cuero cabelludo con movimientos suaves y enjuagar bien.</t>
        </is>
      </c>
      <c r="AD90" s="17" t="inlineStr">
        <is>
          <t>Arginina | Blueberry | Uva preta</t>
        </is>
      </c>
      <c r="AE90" s="17" t="inlineStr">
        <is>
          <t>Arginina | Arandano (blueberry) | Uva negra</t>
        </is>
      </c>
      <c r="AF90" s="17" t="n"/>
      <c r="AG90" s="17" t="n"/>
      <c r="AH90" s="20" t="inlineStr">
        <is>
          <t>shampoo-pre-matizacao-matiza-300ml.webp</t>
        </is>
      </c>
      <c r="AI90" s="17" t="n"/>
      <c r="AJ90" s="17" t="inlineStr">
        <is>
          <t>Cabello rubio, decolorado o canoso</t>
        </is>
      </c>
      <c r="AK90" s="17" t="inlineStr">
        <is>
          <t>https://haskellcosmeticos.com.br/tratamentos-capilares/linha-matizahaskell/</t>
        </is>
      </c>
      <c r="AL90" s="17" t="inlineStr">
        <is>
          <t>2026-07-24</t>
        </is>
      </c>
      <c r="AM90" s="21">
        <f>IF(ISBLANK(Q90),"",Q90*Parametros_PEN!$B$2)</f>
        <v/>
      </c>
      <c r="AN90" s="21">
        <f>IF(ISBLANK(Q90),"",Q90*Parametros_PEN!$B$2*(1+Parametros_PEN!$B$3))</f>
        <v/>
      </c>
      <c r="AO90" s="21">
        <f>IF(ISBLANK(R90),"",R90*Parametros_PEN!$B$2)</f>
        <v/>
      </c>
      <c r="AP90" s="21">
        <f>IF(ISBLANK(R90),"",R90*Parametros_PEN!$B$2*(1+Parametros_PEN!$B$3))</f>
        <v/>
      </c>
    </row>
    <row r="91" ht="46.25" customHeight="1" s="15">
      <c r="A91" s="17" t="inlineStr">
        <is>
          <t>HSK-0090</t>
        </is>
      </c>
      <c r="B91" s="17" t="inlineStr">
        <is>
          <t>mascarilla-matizadora-violeta-matiza-300-g</t>
        </is>
      </c>
      <c r="C91" s="17" t="n"/>
      <c r="D91" s="17" t="inlineStr">
        <is>
          <t>Haskell</t>
        </is>
      </c>
      <c r="E91" s="17" t="inlineStr">
        <is>
          <t>Mascara Matizadora Violeta Matiza+ 300g</t>
        </is>
      </c>
      <c r="F91" s="17" t="inlineStr">
        <is>
          <t>Mascarilla matizadora violeta Matiza+ 300 g</t>
        </is>
      </c>
      <c r="G91" s="17" t="inlineStr">
        <is>
          <t>Matiza+</t>
        </is>
      </c>
      <c r="H91" s="17" t="inlineStr">
        <is>
          <t>Tratamentos Capilares</t>
        </is>
      </c>
      <c r="I91" s="17" t="inlineStr">
        <is>
          <t>Tratamientos capilares</t>
        </is>
      </c>
      <c r="J91" s="17" t="inlineStr">
        <is>
          <t>Matizacao violeta e ultravioleta</t>
        </is>
      </c>
      <c r="K91" s="17" t="inlineStr">
        <is>
          <t>Matizacion violeta y ultravioleta</t>
        </is>
      </c>
      <c r="L91" s="17" t="inlineStr">
        <is>
          <t>Mascara de Tratamento</t>
        </is>
      </c>
      <c r="M91" s="17" t="inlineStr">
        <is>
          <t>Mascarilla de tratamiento</t>
        </is>
      </c>
      <c r="N91" s="17" t="inlineStr">
        <is>
          <t>300 g</t>
        </is>
      </c>
      <c r="O91" s="17" t="n">
        <v>300</v>
      </c>
      <c r="P91" s="17" t="inlineStr">
        <is>
          <t>g</t>
        </is>
      </c>
      <c r="Q91" s="18" t="n">
        <v>78.90000000000001</v>
      </c>
      <c r="R91" s="18" t="n"/>
      <c r="S91" s="19">
        <f>IF(ISBLANK(R91),0,IFERROR((Q91-R91)/Q91,0))</f>
        <v/>
      </c>
      <c r="T91" s="17">
        <f>R91&lt;&gt;""</f>
        <v/>
      </c>
      <c r="U91" s="17">
        <f>TRUE()</f>
        <v/>
      </c>
      <c r="V91" s="17" t="n"/>
      <c r="W91" s="17" t="inlineStr">
        <is>
          <t>Mascarilla de tratamiento concentrada de la linea Matiza+, de uso posterior al champu: neutraliza tonos amarillentos o anaranjados en cabello rubio, decolorado o canoso.</t>
        </is>
      </c>
      <c r="X91" s="17" t="n"/>
      <c r="Y91" s="17" t="inlineStr">
        <is>
          <t>Tratamiento concentrado | Actua en profundidad sobre la fibra capilar | Refuerza el resultado de la linea</t>
        </is>
      </c>
      <c r="Z91" s="17" t="n"/>
      <c r="AA91" s="17" t="inlineStr">
        <is>
          <t>Tratamiento intensivo</t>
        </is>
      </c>
      <c r="AB91" s="17" t="n"/>
      <c r="AC91" s="17" t="inlineStr">
        <is>
          <t>Aplicar mechon por mechon despues del champu, dejar actuar de 3 a 5 minutos y enjuagar bien.</t>
        </is>
      </c>
      <c r="AD91" s="17" t="inlineStr">
        <is>
          <t>Arginina | Blueberry | Uva preta</t>
        </is>
      </c>
      <c r="AE91" s="17" t="inlineStr">
        <is>
          <t>Arginina | Arandano (blueberry) | Uva negra</t>
        </is>
      </c>
      <c r="AF91" s="17" t="n"/>
      <c r="AG91" s="17" t="n"/>
      <c r="AH91" s="20" t="inlineStr">
        <is>
          <t>mascara-matizadora-violeta-matiza-300g.webp</t>
        </is>
      </c>
      <c r="AI91" s="17" t="n"/>
      <c r="AJ91" s="17" t="inlineStr">
        <is>
          <t>Cabello rubio, decolorado o canoso</t>
        </is>
      </c>
      <c r="AK91" s="17" t="inlineStr">
        <is>
          <t>https://haskellcosmeticos.com.br/tratamentos-capilares/linha-matizahaskell/</t>
        </is>
      </c>
      <c r="AL91" s="17" t="inlineStr">
        <is>
          <t>2026-07-24</t>
        </is>
      </c>
      <c r="AM91" s="21">
        <f>IF(ISBLANK(Q91),"",Q91*Parametros_PEN!$B$2)</f>
        <v/>
      </c>
      <c r="AN91" s="21">
        <f>IF(ISBLANK(Q91),"",Q91*Parametros_PEN!$B$2*(1+Parametros_PEN!$B$3))</f>
        <v/>
      </c>
      <c r="AO91" s="21">
        <f>IF(ISBLANK(R91),"",R91*Parametros_PEN!$B$2)</f>
        <v/>
      </c>
      <c r="AP91" s="21">
        <f>IF(ISBLANK(R91),"",R91*Parametros_PEN!$B$2*(1+Parametros_PEN!$B$3))</f>
        <v/>
      </c>
    </row>
    <row r="92" ht="46.25" customHeight="1" s="15">
      <c r="A92" s="17" t="inlineStr">
        <is>
          <t>HSK-0091</t>
        </is>
      </c>
      <c r="B92" s="17" t="inlineStr">
        <is>
          <t>mascarilla-matizadora-ultravioleta-matiza-300-g</t>
        </is>
      </c>
      <c r="C92" s="17" t="n"/>
      <c r="D92" s="17" t="inlineStr">
        <is>
          <t>Haskell</t>
        </is>
      </c>
      <c r="E92" s="17" t="inlineStr">
        <is>
          <t>Mascara Matizadora Ultravioleta Matiza+ 300g</t>
        </is>
      </c>
      <c r="F92" s="17" t="inlineStr">
        <is>
          <t>Mascarilla matizadora ultravioleta Matiza+ 300 g</t>
        </is>
      </c>
      <c r="G92" s="17" t="inlineStr">
        <is>
          <t>Matiza+</t>
        </is>
      </c>
      <c r="H92" s="17" t="inlineStr">
        <is>
          <t>Tratamentos Capilares</t>
        </is>
      </c>
      <c r="I92" s="17" t="inlineStr">
        <is>
          <t>Tratamientos capilares</t>
        </is>
      </c>
      <c r="J92" s="17" t="inlineStr">
        <is>
          <t>Matizacao violeta e ultravioleta</t>
        </is>
      </c>
      <c r="K92" s="17" t="inlineStr">
        <is>
          <t>Matizacion violeta y ultravioleta</t>
        </is>
      </c>
      <c r="L92" s="17" t="inlineStr">
        <is>
          <t>Mascara de Tratamento</t>
        </is>
      </c>
      <c r="M92" s="17" t="inlineStr">
        <is>
          <t>Mascarilla de tratamiento</t>
        </is>
      </c>
      <c r="N92" s="17" t="inlineStr">
        <is>
          <t>300 g</t>
        </is>
      </c>
      <c r="O92" s="17" t="n">
        <v>300</v>
      </c>
      <c r="P92" s="17" t="inlineStr">
        <is>
          <t>g</t>
        </is>
      </c>
      <c r="Q92" s="18" t="n">
        <v>78.90000000000001</v>
      </c>
      <c r="R92" s="18" t="n"/>
      <c r="S92" s="19">
        <f>IF(ISBLANK(R92),0,IFERROR((Q92-R92)/Q92,0))</f>
        <v/>
      </c>
      <c r="T92" s="17">
        <f>R92&lt;&gt;""</f>
        <v/>
      </c>
      <c r="U92" s="17">
        <f>TRUE()</f>
        <v/>
      </c>
      <c r="V92" s="17" t="n"/>
      <c r="W92" s="17" t="inlineStr">
        <is>
          <t>Mascarilla de tratamiento concentrada de la linea Matiza+, de uso posterior al champu: neutraliza tonos amarillentos o anaranjados en cabello rubio, decolorado o canoso.</t>
        </is>
      </c>
      <c r="X92" s="17" t="n"/>
      <c r="Y92" s="17" t="inlineStr">
        <is>
          <t>Tratamiento concentrado | Actua en profundidad sobre la fibra capilar | Refuerza el resultado de la linea</t>
        </is>
      </c>
      <c r="Z92" s="17" t="n"/>
      <c r="AA92" s="17" t="inlineStr">
        <is>
          <t>Tratamiento intensivo</t>
        </is>
      </c>
      <c r="AB92" s="17" t="n"/>
      <c r="AC92" s="17" t="inlineStr">
        <is>
          <t>Aplicar mechon por mechon despues del champu, dejar actuar de 3 a 5 minutos y enjuagar bien.</t>
        </is>
      </c>
      <c r="AD92" s="17" t="inlineStr">
        <is>
          <t>Arginina | Blueberry | Uva preta</t>
        </is>
      </c>
      <c r="AE92" s="17" t="inlineStr">
        <is>
          <t>Arginina | Arandano (blueberry) | Uva negra</t>
        </is>
      </c>
      <c r="AF92" s="17" t="n"/>
      <c r="AG92" s="17" t="n"/>
      <c r="AH92" s="20" t="inlineStr">
        <is>
          <t>mascara-matizadora-ultravioleta-matiza-300g.webp</t>
        </is>
      </c>
      <c r="AI92" s="17" t="n"/>
      <c r="AJ92" s="17" t="inlineStr">
        <is>
          <t>Cabello rubio, decolorado o canoso</t>
        </is>
      </c>
      <c r="AK92" s="17" t="inlineStr">
        <is>
          <t>https://haskellcosmeticos.com.br/tratamentos-capilares/linha-matizahaskell/</t>
        </is>
      </c>
      <c r="AL92" s="17" t="inlineStr">
        <is>
          <t>2026-07-24</t>
        </is>
      </c>
      <c r="AM92" s="21">
        <f>IF(ISBLANK(Q92),"",Q92*Parametros_PEN!$B$2)</f>
        <v/>
      </c>
      <c r="AN92" s="21">
        <f>IF(ISBLANK(Q92),"",Q92*Parametros_PEN!$B$2*(1+Parametros_PEN!$B$3))</f>
        <v/>
      </c>
      <c r="AO92" s="21">
        <f>IF(ISBLANK(R92),"",R92*Parametros_PEN!$B$2)</f>
        <v/>
      </c>
      <c r="AP92" s="21">
        <f>IF(ISBLANK(R92),"",R92*Parametros_PEN!$B$2*(1+Parametros_PEN!$B$3))</f>
        <v/>
      </c>
    </row>
    <row r="93" ht="46.25" customHeight="1" s="15">
      <c r="A93" s="17" t="inlineStr">
        <is>
          <t>HSK-0092</t>
        </is>
      </c>
      <c r="B93" s="17" t="inlineStr">
        <is>
          <t>mascarilla-matizadora-ultravioleta-matiza-90-g</t>
        </is>
      </c>
      <c r="C93" s="17" t="n"/>
      <c r="D93" s="17" t="inlineStr">
        <is>
          <t>Haskell</t>
        </is>
      </c>
      <c r="E93" s="17" t="inlineStr">
        <is>
          <t>Mascara Matizadora Ultravioleta Matiza+ 90g</t>
        </is>
      </c>
      <c r="F93" s="17" t="inlineStr">
        <is>
          <t>Mascarilla matizadora ultravioleta Matiza+ 90 g</t>
        </is>
      </c>
      <c r="G93" s="17" t="inlineStr">
        <is>
          <t>Matiza+</t>
        </is>
      </c>
      <c r="H93" s="17" t="inlineStr">
        <is>
          <t>Tratamentos Capilares</t>
        </is>
      </c>
      <c r="I93" s="17" t="inlineStr">
        <is>
          <t>Tratamientos capilares</t>
        </is>
      </c>
      <c r="J93" s="17" t="inlineStr">
        <is>
          <t>Matizacao violeta e ultravioleta</t>
        </is>
      </c>
      <c r="K93" s="17" t="inlineStr">
        <is>
          <t>Matizacion violeta y ultravioleta</t>
        </is>
      </c>
      <c r="L93" s="17" t="inlineStr">
        <is>
          <t>Mascara de Tratamento</t>
        </is>
      </c>
      <c r="M93" s="17" t="inlineStr">
        <is>
          <t>Mascarilla de tratamiento</t>
        </is>
      </c>
      <c r="N93" s="17" t="inlineStr">
        <is>
          <t>90 g</t>
        </is>
      </c>
      <c r="O93" s="17" t="n">
        <v>90</v>
      </c>
      <c r="P93" s="17" t="inlineStr">
        <is>
          <t>g</t>
        </is>
      </c>
      <c r="Q93" s="18" t="n">
        <v>34.9</v>
      </c>
      <c r="R93" s="18" t="n"/>
      <c r="S93" s="19">
        <f>IF(ISBLANK(R93),0,IFERROR((Q93-R93)/Q93,0))</f>
        <v/>
      </c>
      <c r="T93" s="17">
        <f>R93&lt;&gt;""</f>
        <v/>
      </c>
      <c r="U93" s="17">
        <f>TRUE()</f>
        <v/>
      </c>
      <c r="V93" s="17" t="n"/>
      <c r="W93" s="17" t="inlineStr">
        <is>
          <t>Mascarilla de tratamiento concentrada de la linea Matiza+, de uso posterior al champu: neutraliza tonos amarillentos o anaranjados en cabello rubio, decolorado o canoso.</t>
        </is>
      </c>
      <c r="X93" s="17" t="n"/>
      <c r="Y93" s="17" t="inlineStr">
        <is>
          <t>Tratamiento concentrado | Actua en profundidad sobre la fibra capilar | Refuerza el resultado de la linea</t>
        </is>
      </c>
      <c r="Z93" s="17" t="n"/>
      <c r="AA93" s="17" t="inlineStr">
        <is>
          <t>Tratamiento intensivo</t>
        </is>
      </c>
      <c r="AB93" s="17" t="n"/>
      <c r="AC93" s="17" t="inlineStr">
        <is>
          <t>Aplicar mechon por mechon despues del champu, dejar actuar de 3 a 5 minutos y enjuagar bien.</t>
        </is>
      </c>
      <c r="AD93" s="17" t="inlineStr">
        <is>
          <t>Arginina | Blueberry | Uva preta</t>
        </is>
      </c>
      <c r="AE93" s="17" t="inlineStr">
        <is>
          <t>Arginina | Arandano (blueberry) | Uva negra</t>
        </is>
      </c>
      <c r="AF93" s="17" t="n"/>
      <c r="AG93" s="17" t="n"/>
      <c r="AH93" s="20" t="inlineStr">
        <is>
          <t>mascara-matizadora-ultravioleta-matiza-90g.webp</t>
        </is>
      </c>
      <c r="AI93" s="17" t="n"/>
      <c r="AJ93" s="17" t="inlineStr">
        <is>
          <t>Cabello rubio, decolorado o canoso</t>
        </is>
      </c>
      <c r="AK93" s="17" t="inlineStr">
        <is>
          <t>https://haskellcosmeticos.com.br/tratamentos-capilares/linha-matizahaskell/</t>
        </is>
      </c>
      <c r="AL93" s="17" t="inlineStr">
        <is>
          <t>2026-07-24</t>
        </is>
      </c>
      <c r="AM93" s="21">
        <f>IF(ISBLANK(Q93),"",Q93*Parametros_PEN!$B$2)</f>
        <v/>
      </c>
      <c r="AN93" s="21">
        <f>IF(ISBLANK(Q93),"",Q93*Parametros_PEN!$B$2*(1+Parametros_PEN!$B$3))</f>
        <v/>
      </c>
      <c r="AO93" s="21">
        <f>IF(ISBLANK(R93),"",R93*Parametros_PEN!$B$2)</f>
        <v/>
      </c>
      <c r="AP93" s="21">
        <f>IF(ISBLANK(R93),"",R93*Parametros_PEN!$B$2*(1+Parametros_PEN!$B$3))</f>
        <v/>
      </c>
    </row>
    <row r="94" ht="46.25" customHeight="1" s="15">
      <c r="A94" s="17" t="inlineStr">
        <is>
          <t>HSK-0093</t>
        </is>
      </c>
      <c r="B94" s="17" t="inlineStr">
        <is>
          <t>mascarilla-matizadora-violeta-matiza-90-g</t>
        </is>
      </c>
      <c r="C94" s="17" t="n"/>
      <c r="D94" s="17" t="inlineStr">
        <is>
          <t>Haskell</t>
        </is>
      </c>
      <c r="E94" s="17" t="inlineStr">
        <is>
          <t>Mascara Matizadora Violeta Matiza+ 90g</t>
        </is>
      </c>
      <c r="F94" s="17" t="inlineStr">
        <is>
          <t>Mascarilla matizadora violeta Matiza+ 90 g</t>
        </is>
      </c>
      <c r="G94" s="17" t="inlineStr">
        <is>
          <t>Matiza+</t>
        </is>
      </c>
      <c r="H94" s="17" t="inlineStr">
        <is>
          <t>Tratamentos Capilares</t>
        </is>
      </c>
      <c r="I94" s="17" t="inlineStr">
        <is>
          <t>Tratamientos capilares</t>
        </is>
      </c>
      <c r="J94" s="17" t="inlineStr">
        <is>
          <t>Matizacao violeta e ultravioleta</t>
        </is>
      </c>
      <c r="K94" s="17" t="inlineStr">
        <is>
          <t>Matizacion violeta y ultravioleta</t>
        </is>
      </c>
      <c r="L94" s="17" t="inlineStr">
        <is>
          <t>Mascara de Tratamento</t>
        </is>
      </c>
      <c r="M94" s="17" t="inlineStr">
        <is>
          <t>Mascarilla de tratamiento</t>
        </is>
      </c>
      <c r="N94" s="17" t="inlineStr">
        <is>
          <t>90 g</t>
        </is>
      </c>
      <c r="O94" s="17" t="n">
        <v>90</v>
      </c>
      <c r="P94" s="17" t="inlineStr">
        <is>
          <t>g</t>
        </is>
      </c>
      <c r="Q94" s="18" t="n">
        <v>34.9</v>
      </c>
      <c r="R94" s="18" t="n"/>
      <c r="S94" s="19">
        <f>IF(ISBLANK(R94),0,IFERROR((Q94-R94)/Q94,0))</f>
        <v/>
      </c>
      <c r="T94" s="17">
        <f>R94&lt;&gt;""</f>
        <v/>
      </c>
      <c r="U94" s="17">
        <f>TRUE()</f>
        <v/>
      </c>
      <c r="V94" s="17" t="n"/>
      <c r="W94" s="17" t="inlineStr">
        <is>
          <t>Mascarilla de tratamiento concentrada de la linea Matiza+, de uso posterior al champu: neutraliza tonos amarillentos o anaranjados en cabello rubio, decolorado o canoso.</t>
        </is>
      </c>
      <c r="X94" s="17" t="n"/>
      <c r="Y94" s="17" t="inlineStr">
        <is>
          <t>Tratamiento concentrado | Actua en profundidad sobre la fibra capilar | Refuerza el resultado de la linea</t>
        </is>
      </c>
      <c r="Z94" s="17" t="n"/>
      <c r="AA94" s="17" t="inlineStr">
        <is>
          <t>Tratamiento intensivo</t>
        </is>
      </c>
      <c r="AB94" s="17" t="n"/>
      <c r="AC94" s="17" t="inlineStr">
        <is>
          <t>Aplicar mechon por mechon despues del champu, dejar actuar de 3 a 5 minutos y enjuagar bien.</t>
        </is>
      </c>
      <c r="AD94" s="17" t="inlineStr">
        <is>
          <t>Arginina | Blueberry | Uva preta</t>
        </is>
      </c>
      <c r="AE94" s="17" t="inlineStr">
        <is>
          <t>Arginina | Arandano (blueberry) | Uva negra</t>
        </is>
      </c>
      <c r="AF94" s="17" t="n"/>
      <c r="AG94" s="17" t="n"/>
      <c r="AH94" s="20" t="inlineStr">
        <is>
          <t>mascara-matizadora-violeta-matiza-90g.webp</t>
        </is>
      </c>
      <c r="AI94" s="17" t="n"/>
      <c r="AJ94" s="17" t="inlineStr">
        <is>
          <t>Cabello rubio, decolorado o canoso</t>
        </is>
      </c>
      <c r="AK94" s="17" t="inlineStr">
        <is>
          <t>https://haskellcosmeticos.com.br/tratamentos-capilares/linha-matizahaskell/</t>
        </is>
      </c>
      <c r="AL94" s="17" t="inlineStr">
        <is>
          <t>2026-07-24</t>
        </is>
      </c>
      <c r="AM94" s="21">
        <f>IF(ISBLANK(Q94),"",Q94*Parametros_PEN!$B$2)</f>
        <v/>
      </c>
      <c r="AN94" s="21">
        <f>IF(ISBLANK(Q94),"",Q94*Parametros_PEN!$B$2*(1+Parametros_PEN!$B$3))</f>
        <v/>
      </c>
      <c r="AO94" s="21">
        <f>IF(ISBLANK(R94),"",R94*Parametros_PEN!$B$2)</f>
        <v/>
      </c>
      <c r="AP94" s="21">
        <f>IF(ISBLANK(R94),"",R94*Parametros_PEN!$B$2*(1+Parametros_PEN!$B$3))</f>
        <v/>
      </c>
    </row>
    <row r="95" ht="46.25" customHeight="1" s="15">
      <c r="A95" s="17" t="inlineStr">
        <is>
          <t>HSK-0094</t>
        </is>
      </c>
      <c r="B95" s="17" t="inlineStr">
        <is>
          <t>champu-ora-pro-nobis-300-ml</t>
        </is>
      </c>
      <c r="C95" s="17" t="n"/>
      <c r="D95" s="17" t="inlineStr">
        <is>
          <t>Haskell</t>
        </is>
      </c>
      <c r="E95" s="17" t="inlineStr">
        <is>
          <t>Shampoo Ora-Pro-Nobis 300ml</t>
        </is>
      </c>
      <c r="F95" s="17" t="inlineStr">
        <is>
          <t>Champu Ora-pro-nobis 300 ml</t>
        </is>
      </c>
      <c r="G95" s="17" t="inlineStr">
        <is>
          <t>Ora-pro-nobis</t>
        </is>
      </c>
      <c r="H95" s="17" t="inlineStr">
        <is>
          <t>Tratamentos Capilares</t>
        </is>
      </c>
      <c r="I95" s="17" t="inlineStr">
        <is>
          <t>Tratamientos capilares</t>
        </is>
      </c>
      <c r="J95" s="17" t="inlineStr">
        <is>
          <t>Forca extrema</t>
        </is>
      </c>
      <c r="K95" s="17" t="inlineStr">
        <is>
          <t>Fuerza extrema</t>
        </is>
      </c>
      <c r="L95" s="17" t="inlineStr">
        <is>
          <t>Shampoo</t>
        </is>
      </c>
      <c r="M95" s="17" t="inlineStr">
        <is>
          <t>Champu</t>
        </is>
      </c>
      <c r="N95" s="17" t="inlineStr">
        <is>
          <t>300 ml</t>
        </is>
      </c>
      <c r="O95" s="17" t="n">
        <v>300</v>
      </c>
      <c r="P95" s="17" t="inlineStr">
        <is>
          <t>ml</t>
        </is>
      </c>
      <c r="Q95" s="18" t="n">
        <v>58.9</v>
      </c>
      <c r="R95" s="18" t="n"/>
      <c r="S95" s="19">
        <f>IF(ISBLANK(R95),0,IFERROR((Q95-R95)/Q95,0))</f>
        <v/>
      </c>
      <c r="T95" s="17">
        <f>R95&lt;&gt;""</f>
        <v/>
      </c>
      <c r="U95" s="17">
        <f>TRUE()</f>
        <v/>
      </c>
      <c r="V95" s="17" t="n"/>
      <c r="W95" s="17" t="inlineStr">
        <is>
          <t>Champu de limpieza suave de la linea Ora-pro-nobis, que prepara el cabello para el tratamiento: fortalece intensamente la fibra capilar y ayuda a prevenir la quiebre en cabello debil.</t>
        </is>
      </c>
      <c r="X95" s="17" t="n"/>
      <c r="Y95" s="17" t="inlineStr">
        <is>
          <t>Limpieza suave sin resecar | Prepara el cabello para el resto de la rutina | Respeta el equilibrio del cuero cabelludo</t>
        </is>
      </c>
      <c r="Z95" s="17" t="n"/>
      <c r="AA95" s="17" t="inlineStr">
        <is>
          <t>Limpiador suave</t>
        </is>
      </c>
      <c r="AB95" s="17" t="n"/>
      <c r="AC95" s="17" t="inlineStr">
        <is>
          <t>Aplicar sobre el cabello mojado, masajear el cuero cabelludo con movimientos suaves y enjuagar bien.</t>
        </is>
      </c>
      <c r="AD95" s="17" t="inlineStr">
        <is>
          <t>Extrato de ora-pro-nobis</t>
        </is>
      </c>
      <c r="AE95" s="17" t="inlineStr">
        <is>
          <t>Extracto de ora-pro-nobis</t>
        </is>
      </c>
      <c r="AF95" s="17" t="n"/>
      <c r="AG95" s="17" t="n"/>
      <c r="AH95" s="20" t="inlineStr">
        <is>
          <t>shampoo-ora-pro-nobis-300ml.webp</t>
        </is>
      </c>
      <c r="AI95" s="17" t="n"/>
      <c r="AJ95" s="17" t="inlineStr">
        <is>
          <t>Cabello debil, fino o quebradizo</t>
        </is>
      </c>
      <c r="AK95" s="17" t="inlineStr">
        <is>
          <t>https://haskellcosmeticos.com.br/tratamentos-capilares/linha-ora-pro-nobis-haskell/</t>
        </is>
      </c>
      <c r="AL95" s="17" t="inlineStr">
        <is>
          <t>2026-07-24</t>
        </is>
      </c>
      <c r="AM95" s="21">
        <f>IF(ISBLANK(Q95),"",Q95*Parametros_PEN!$B$2)</f>
        <v/>
      </c>
      <c r="AN95" s="21">
        <f>IF(ISBLANK(Q95),"",Q95*Parametros_PEN!$B$2*(1+Parametros_PEN!$B$3))</f>
        <v/>
      </c>
      <c r="AO95" s="21">
        <f>IF(ISBLANK(R95),"",R95*Parametros_PEN!$B$2)</f>
        <v/>
      </c>
      <c r="AP95" s="21">
        <f>IF(ISBLANK(R95),"",R95*Parametros_PEN!$B$2*(1+Parametros_PEN!$B$3))</f>
        <v/>
      </c>
    </row>
    <row r="96" ht="46.25" customHeight="1" s="15">
      <c r="A96" s="17" t="inlineStr">
        <is>
          <t>HSK-0095</t>
        </is>
      </c>
      <c r="B96" s="17" t="inlineStr">
        <is>
          <t>champu-ora-pro-nobis-500-ml</t>
        </is>
      </c>
      <c r="C96" s="17" t="n"/>
      <c r="D96" s="17" t="inlineStr">
        <is>
          <t>Haskell</t>
        </is>
      </c>
      <c r="E96" s="17" t="inlineStr">
        <is>
          <t>Shampoo Ora-Pro-Nobis 500ml</t>
        </is>
      </c>
      <c r="F96" s="17" t="inlineStr">
        <is>
          <t>Champu Ora-pro-nobis 500 ml</t>
        </is>
      </c>
      <c r="G96" s="17" t="inlineStr">
        <is>
          <t>Ora-pro-nobis</t>
        </is>
      </c>
      <c r="H96" s="17" t="inlineStr">
        <is>
          <t>Tratamentos Capilares</t>
        </is>
      </c>
      <c r="I96" s="17" t="inlineStr">
        <is>
          <t>Tratamientos capilares</t>
        </is>
      </c>
      <c r="J96" s="17" t="inlineStr">
        <is>
          <t>Forca extrema</t>
        </is>
      </c>
      <c r="K96" s="17" t="inlineStr">
        <is>
          <t>Fuerza extrema</t>
        </is>
      </c>
      <c r="L96" s="17" t="inlineStr">
        <is>
          <t>Shampoo</t>
        </is>
      </c>
      <c r="M96" s="17" t="inlineStr">
        <is>
          <t>Champu</t>
        </is>
      </c>
      <c r="N96" s="17" t="inlineStr">
        <is>
          <t>500 ml</t>
        </is>
      </c>
      <c r="O96" s="17" t="n">
        <v>500</v>
      </c>
      <c r="P96" s="17" t="inlineStr">
        <is>
          <t>ml</t>
        </is>
      </c>
      <c r="Q96" s="18" t="n">
        <v>76.90000000000001</v>
      </c>
      <c r="R96" s="18" t="n"/>
      <c r="S96" s="19">
        <f>IF(ISBLANK(R96),0,IFERROR((Q96-R96)/Q96,0))</f>
        <v/>
      </c>
      <c r="T96" s="17">
        <f>R96&lt;&gt;""</f>
        <v/>
      </c>
      <c r="U96" s="17">
        <f>TRUE()</f>
        <v/>
      </c>
      <c r="V96" s="17" t="n"/>
      <c r="W96" s="17" t="inlineStr">
        <is>
          <t>Champu de limpieza suave de la linea Ora-pro-nobis, que prepara el cabello para el tratamiento: fortalece intensamente la fibra capilar y ayuda a prevenir la quiebre en cabello debil.</t>
        </is>
      </c>
      <c r="X96" s="17" t="n"/>
      <c r="Y96" s="17" t="inlineStr">
        <is>
          <t>Limpieza suave sin resecar | Prepara el cabello para el resto de la rutina | Respeta el equilibrio del cuero cabelludo</t>
        </is>
      </c>
      <c r="Z96" s="17" t="n"/>
      <c r="AA96" s="17" t="inlineStr">
        <is>
          <t>Limpiador suave</t>
        </is>
      </c>
      <c r="AB96" s="17" t="n"/>
      <c r="AC96" s="17" t="inlineStr">
        <is>
          <t>Aplicar sobre el cabello mojado, masajear el cuero cabelludo con movimientos suaves y enjuagar bien.</t>
        </is>
      </c>
      <c r="AD96" s="17" t="inlineStr">
        <is>
          <t>Extrato de ora-pro-nobis</t>
        </is>
      </c>
      <c r="AE96" s="17" t="inlineStr">
        <is>
          <t>Extracto de ora-pro-nobis</t>
        </is>
      </c>
      <c r="AF96" s="17" t="n"/>
      <c r="AG96" s="17" t="n"/>
      <c r="AH96" s="20" t="inlineStr">
        <is>
          <t>shampoo-ora-pro-nobis-500ml.webp</t>
        </is>
      </c>
      <c r="AI96" s="17" t="n"/>
      <c r="AJ96" s="17" t="inlineStr">
        <is>
          <t>Cabello debil, fino o quebradizo</t>
        </is>
      </c>
      <c r="AK96" s="17" t="inlineStr">
        <is>
          <t>https://haskellcosmeticos.com.br/tratamentos-capilares/linha-ora-pro-nobis-haskell/</t>
        </is>
      </c>
      <c r="AL96" s="17" t="inlineStr">
        <is>
          <t>2026-07-24</t>
        </is>
      </c>
      <c r="AM96" s="21">
        <f>IF(ISBLANK(Q96),"",Q96*Parametros_PEN!$B$2)</f>
        <v/>
      </c>
      <c r="AN96" s="21">
        <f>IF(ISBLANK(Q96),"",Q96*Parametros_PEN!$B$2*(1+Parametros_PEN!$B$3))</f>
        <v/>
      </c>
      <c r="AO96" s="21">
        <f>IF(ISBLANK(R96),"",R96*Parametros_PEN!$B$2)</f>
        <v/>
      </c>
      <c r="AP96" s="21">
        <f>IF(ISBLANK(R96),"",R96*Parametros_PEN!$B$2*(1+Parametros_PEN!$B$3))</f>
        <v/>
      </c>
    </row>
    <row r="97" ht="46.25" customHeight="1" s="15">
      <c r="A97" s="17" t="inlineStr">
        <is>
          <t>HSK-0096</t>
        </is>
      </c>
      <c r="B97" s="17" t="inlineStr">
        <is>
          <t>acondicionador-ora-pro-nobis-300-ml</t>
        </is>
      </c>
      <c r="C97" s="17" t="n"/>
      <c r="D97" s="17" t="inlineStr">
        <is>
          <t>Haskell</t>
        </is>
      </c>
      <c r="E97" s="17" t="inlineStr">
        <is>
          <t>Condicionador Ora-Pro-Nobis 300ml</t>
        </is>
      </c>
      <c r="F97" s="17" t="inlineStr">
        <is>
          <t>Acondicionador Ora-pro-nobis 300 ml</t>
        </is>
      </c>
      <c r="G97" s="17" t="inlineStr">
        <is>
          <t>Ora-pro-nobis</t>
        </is>
      </c>
      <c r="H97" s="17" t="inlineStr">
        <is>
          <t>Tratamentos Capilares</t>
        </is>
      </c>
      <c r="I97" s="17" t="inlineStr">
        <is>
          <t>Tratamientos capilares</t>
        </is>
      </c>
      <c r="J97" s="17" t="inlineStr">
        <is>
          <t>Forca extrema</t>
        </is>
      </c>
      <c r="K97" s="17" t="inlineStr">
        <is>
          <t>Fuerza extrema</t>
        </is>
      </c>
      <c r="L97" s="17" t="inlineStr">
        <is>
          <t>Condicionador</t>
        </is>
      </c>
      <c r="M97" s="17" t="inlineStr">
        <is>
          <t>Acondicionador</t>
        </is>
      </c>
      <c r="N97" s="17" t="inlineStr">
        <is>
          <t>300 ml</t>
        </is>
      </c>
      <c r="O97" s="17" t="n">
        <v>300</v>
      </c>
      <c r="P97" s="17" t="inlineStr">
        <is>
          <t>ml</t>
        </is>
      </c>
      <c r="Q97" s="18" t="n">
        <v>58.9</v>
      </c>
      <c r="R97" s="18" t="n"/>
      <c r="S97" s="19">
        <f>IF(ISBLANK(R97),0,IFERROR((Q97-R97)/Q97,0))</f>
        <v/>
      </c>
      <c r="T97" s="17">
        <f>R97&lt;&gt;""</f>
        <v/>
      </c>
      <c r="U97" s="17">
        <f>TRUE()</f>
        <v/>
      </c>
      <c r="V97" s="17" t="n"/>
      <c r="W97" s="17" t="inlineStr">
        <is>
          <t>Acondicionador de la linea Ora-pro-nobis que facilita el desenredado y sella la cuticula: fortalece intensamente la fibra capilar y ayuda a prevenir la quiebre en cabello debil.</t>
        </is>
      </c>
      <c r="X97" s="17" t="n"/>
      <c r="Y97" s="17" t="inlineStr">
        <is>
          <t>Facilita el desenredado | Sella la cuticula | Aporta suavidad y brillo</t>
        </is>
      </c>
      <c r="Z97" s="17" t="n"/>
      <c r="AA97" s="17" t="inlineStr">
        <is>
          <t>Acondicionador</t>
        </is>
      </c>
      <c r="AB97" s="17" t="n"/>
      <c r="AC97" s="17" t="inlineStr">
        <is>
          <t>Aplicar en el largo y las puntas del cabello despues del champu, dejar actuar unos minutos y enjuagar.</t>
        </is>
      </c>
      <c r="AD97" s="17" t="inlineStr">
        <is>
          <t>Extrato de ora-pro-nobis</t>
        </is>
      </c>
      <c r="AE97" s="17" t="inlineStr">
        <is>
          <t>Extracto de ora-pro-nobis</t>
        </is>
      </c>
      <c r="AF97" s="17" t="n"/>
      <c r="AG97" s="17" t="n"/>
      <c r="AH97" s="20" t="inlineStr">
        <is>
          <t>condicionador-ora-pro-nobis-300ml.webp</t>
        </is>
      </c>
      <c r="AI97" s="17" t="n"/>
      <c r="AJ97" s="17" t="inlineStr">
        <is>
          <t>Cabello debil, fino o quebradizo</t>
        </is>
      </c>
      <c r="AK97" s="17" t="inlineStr">
        <is>
          <t>https://haskellcosmeticos.com.br/tratamentos-capilares/linha-ora-pro-nobis-haskell/</t>
        </is>
      </c>
      <c r="AL97" s="17" t="inlineStr">
        <is>
          <t>2026-07-24</t>
        </is>
      </c>
      <c r="AM97" s="21">
        <f>IF(ISBLANK(Q97),"",Q97*Parametros_PEN!$B$2)</f>
        <v/>
      </c>
      <c r="AN97" s="21">
        <f>IF(ISBLANK(Q97),"",Q97*Parametros_PEN!$B$2*(1+Parametros_PEN!$B$3))</f>
        <v/>
      </c>
      <c r="AO97" s="21">
        <f>IF(ISBLANK(R97),"",R97*Parametros_PEN!$B$2)</f>
        <v/>
      </c>
      <c r="AP97" s="21">
        <f>IF(ISBLANK(R97),"",R97*Parametros_PEN!$B$2*(1+Parametros_PEN!$B$3))</f>
        <v/>
      </c>
    </row>
    <row r="98" ht="46.25" customHeight="1" s="15">
      <c r="A98" s="17" t="inlineStr">
        <is>
          <t>HSK-0097</t>
        </is>
      </c>
      <c r="B98" s="17" t="inlineStr">
        <is>
          <t>acondicionador-ora-pro-nobis-500-ml</t>
        </is>
      </c>
      <c r="C98" s="17" t="n"/>
      <c r="D98" s="17" t="inlineStr">
        <is>
          <t>Haskell</t>
        </is>
      </c>
      <c r="E98" s="17" t="inlineStr">
        <is>
          <t>Condicionador Ora-Pro-Nobis 500ml</t>
        </is>
      </c>
      <c r="F98" s="17" t="inlineStr">
        <is>
          <t>Acondicionador Ora-pro-nobis 500 ml</t>
        </is>
      </c>
      <c r="G98" s="17" t="inlineStr">
        <is>
          <t>Ora-pro-nobis</t>
        </is>
      </c>
      <c r="H98" s="17" t="inlineStr">
        <is>
          <t>Tratamentos Capilares</t>
        </is>
      </c>
      <c r="I98" s="17" t="inlineStr">
        <is>
          <t>Tratamientos capilares</t>
        </is>
      </c>
      <c r="J98" s="17" t="inlineStr">
        <is>
          <t>Forca extrema</t>
        </is>
      </c>
      <c r="K98" s="17" t="inlineStr">
        <is>
          <t>Fuerza extrema</t>
        </is>
      </c>
      <c r="L98" s="17" t="inlineStr">
        <is>
          <t>Condicionador</t>
        </is>
      </c>
      <c r="M98" s="17" t="inlineStr">
        <is>
          <t>Acondicionador</t>
        </is>
      </c>
      <c r="N98" s="17" t="inlineStr">
        <is>
          <t>500 ml</t>
        </is>
      </c>
      <c r="O98" s="17" t="n">
        <v>500</v>
      </c>
      <c r="P98" s="17" t="inlineStr">
        <is>
          <t>ml</t>
        </is>
      </c>
      <c r="Q98" s="18" t="n">
        <v>76.90000000000001</v>
      </c>
      <c r="R98" s="18" t="n"/>
      <c r="S98" s="19">
        <f>IF(ISBLANK(R98),0,IFERROR((Q98-R98)/Q98,0))</f>
        <v/>
      </c>
      <c r="T98" s="17">
        <f>R98&lt;&gt;""</f>
        <v/>
      </c>
      <c r="U98" s="17">
        <f>TRUE()</f>
        <v/>
      </c>
      <c r="V98" s="17" t="n"/>
      <c r="W98" s="17" t="inlineStr">
        <is>
          <t>Acondicionador de la linea Ora-pro-nobis que facilita el desenredado y sella la cuticula: fortalece intensamente la fibra capilar y ayuda a prevenir la quiebre en cabello debil.</t>
        </is>
      </c>
      <c r="X98" s="17" t="n"/>
      <c r="Y98" s="17" t="inlineStr">
        <is>
          <t>Facilita el desenredado | Sella la cuticula | Aporta suavidad y brillo</t>
        </is>
      </c>
      <c r="Z98" s="17" t="n"/>
      <c r="AA98" s="17" t="inlineStr">
        <is>
          <t>Acondicionador</t>
        </is>
      </c>
      <c r="AB98" s="17" t="n"/>
      <c r="AC98" s="17" t="inlineStr">
        <is>
          <t>Aplicar en el largo y las puntas del cabello despues del champu, dejar actuar unos minutos y enjuagar.</t>
        </is>
      </c>
      <c r="AD98" s="17" t="inlineStr">
        <is>
          <t>Extrato de ora-pro-nobis</t>
        </is>
      </c>
      <c r="AE98" s="17" t="inlineStr">
        <is>
          <t>Extracto de ora-pro-nobis</t>
        </is>
      </c>
      <c r="AF98" s="17" t="n"/>
      <c r="AG98" s="17" t="n"/>
      <c r="AH98" s="20" t="inlineStr">
        <is>
          <t>condicionador-ora-pro-nobis-500ml.webp</t>
        </is>
      </c>
      <c r="AI98" s="17" t="n"/>
      <c r="AJ98" s="17" t="inlineStr">
        <is>
          <t>Cabello debil, fino o quebradizo</t>
        </is>
      </c>
      <c r="AK98" s="17" t="inlineStr">
        <is>
          <t>https://haskellcosmeticos.com.br/tratamentos-capilares/linha-ora-pro-nobis-haskell/</t>
        </is>
      </c>
      <c r="AL98" s="17" t="inlineStr">
        <is>
          <t>2026-07-24</t>
        </is>
      </c>
      <c r="AM98" s="21">
        <f>IF(ISBLANK(Q98),"",Q98*Parametros_PEN!$B$2)</f>
        <v/>
      </c>
      <c r="AN98" s="21">
        <f>IF(ISBLANK(Q98),"",Q98*Parametros_PEN!$B$2*(1+Parametros_PEN!$B$3))</f>
        <v/>
      </c>
      <c r="AO98" s="21">
        <f>IF(ISBLANK(R98),"",R98*Parametros_PEN!$B$2)</f>
        <v/>
      </c>
      <c r="AP98" s="21">
        <f>IF(ISBLANK(R98),"",R98*Parametros_PEN!$B$2*(1+Parametros_PEN!$B$3))</f>
        <v/>
      </c>
    </row>
    <row r="99" ht="46.25" customHeight="1" s="15">
      <c r="A99" s="17" t="inlineStr">
        <is>
          <t>HSK-0098</t>
        </is>
      </c>
      <c r="B99" s="17" t="inlineStr">
        <is>
          <t>mascarilla-de-tratamiento-ora-pro-nobis-300-g</t>
        </is>
      </c>
      <c r="C99" s="17" t="n"/>
      <c r="D99" s="17" t="inlineStr">
        <is>
          <t>Haskell</t>
        </is>
      </c>
      <c r="E99" s="17" t="inlineStr">
        <is>
          <t>Mascara de Tratamento Ora-Pro-Nobis 300g</t>
        </is>
      </c>
      <c r="F99" s="17" t="inlineStr">
        <is>
          <t>Mascarilla de tratamiento Ora-pro-nobis 300 g</t>
        </is>
      </c>
      <c r="G99" s="17" t="inlineStr">
        <is>
          <t>Ora-pro-nobis</t>
        </is>
      </c>
      <c r="H99" s="17" t="inlineStr">
        <is>
          <t>Tratamentos Capilares</t>
        </is>
      </c>
      <c r="I99" s="17" t="inlineStr">
        <is>
          <t>Tratamientos capilares</t>
        </is>
      </c>
      <c r="J99" s="17" t="inlineStr">
        <is>
          <t>Forca extrema</t>
        </is>
      </c>
      <c r="K99" s="17" t="inlineStr">
        <is>
          <t>Fuerza extrema</t>
        </is>
      </c>
      <c r="L99" s="17" t="inlineStr">
        <is>
          <t>Mascara de Tratamento</t>
        </is>
      </c>
      <c r="M99" s="17" t="inlineStr">
        <is>
          <t>Mascarilla de tratamiento</t>
        </is>
      </c>
      <c r="N99" s="17" t="inlineStr">
        <is>
          <t>300 g</t>
        </is>
      </c>
      <c r="O99" s="17" t="n">
        <v>300</v>
      </c>
      <c r="P99" s="17" t="inlineStr">
        <is>
          <t>g</t>
        </is>
      </c>
      <c r="Q99" s="18" t="n">
        <v>68.90000000000001</v>
      </c>
      <c r="R99" s="18" t="n"/>
      <c r="S99" s="19">
        <f>IF(ISBLANK(R99),0,IFERROR((Q99-R99)/Q99,0))</f>
        <v/>
      </c>
      <c r="T99" s="17">
        <f>R99&lt;&gt;""</f>
        <v/>
      </c>
      <c r="U99" s="17">
        <f>TRUE()</f>
        <v/>
      </c>
      <c r="V99" s="17" t="n"/>
      <c r="W99" s="17" t="inlineStr">
        <is>
          <t>Mascarilla de tratamiento concentrada de la linea Ora-pro-nobis, de uso posterior al champu: fortalece intensamente la fibra capilar y ayuda a prevenir la quiebre en cabello debil.</t>
        </is>
      </c>
      <c r="X99" s="17" t="n"/>
      <c r="Y99" s="17" t="inlineStr">
        <is>
          <t>Tratamiento concentrado | Actua en profundidad sobre la fibra capilar | Refuerza el resultado de la linea</t>
        </is>
      </c>
      <c r="Z99" s="17" t="n"/>
      <c r="AA99" s="17" t="inlineStr">
        <is>
          <t>Tratamiento intensivo</t>
        </is>
      </c>
      <c r="AB99" s="17" t="n"/>
      <c r="AC99" s="17" t="inlineStr">
        <is>
          <t>Aplicar mechon por mechon despues del champu, dejar actuar de 3 a 5 minutos y enjuagar bien.</t>
        </is>
      </c>
      <c r="AD99" s="17" t="inlineStr">
        <is>
          <t>Extrato de ora-pro-nobis</t>
        </is>
      </c>
      <c r="AE99" s="17" t="inlineStr">
        <is>
          <t>Extracto de ora-pro-nobis</t>
        </is>
      </c>
      <c r="AF99" s="17" t="n"/>
      <c r="AG99" s="17" t="n"/>
      <c r="AH99" s="20" t="inlineStr">
        <is>
          <t>mascara-de-tratamento-ora-pro-nobis-300g-brinde-fvu1c1.webp</t>
        </is>
      </c>
      <c r="AI99" s="17" t="n"/>
      <c r="AJ99" s="17" t="inlineStr">
        <is>
          <t>Cabello debil, fino o quebradizo</t>
        </is>
      </c>
      <c r="AK99" s="17" t="inlineStr">
        <is>
          <t>https://haskellcosmeticos.com.br/tratamentos-capilares/linha-ora-pro-nobis-haskell/</t>
        </is>
      </c>
      <c r="AL99" s="17" t="inlineStr">
        <is>
          <t>2026-07-24</t>
        </is>
      </c>
      <c r="AM99" s="21">
        <f>IF(ISBLANK(Q99),"",Q99*Parametros_PEN!$B$2)</f>
        <v/>
      </c>
      <c r="AN99" s="21">
        <f>IF(ISBLANK(Q99),"",Q99*Parametros_PEN!$B$2*(1+Parametros_PEN!$B$3))</f>
        <v/>
      </c>
      <c r="AO99" s="21">
        <f>IF(ISBLANK(R99),"",R99*Parametros_PEN!$B$2)</f>
        <v/>
      </c>
      <c r="AP99" s="21">
        <f>IF(ISBLANK(R99),"",R99*Parametros_PEN!$B$2*(1+Parametros_PEN!$B$3))</f>
        <v/>
      </c>
    </row>
    <row r="100" ht="46.25" customHeight="1" s="15">
      <c r="A100" s="17" t="inlineStr">
        <is>
          <t>HSK-0099</t>
        </is>
      </c>
      <c r="B100" s="17" t="inlineStr">
        <is>
          <t>mascarilla-de-tratamiento-ora-pro-nobis-500-g</t>
        </is>
      </c>
      <c r="C100" s="17" t="n"/>
      <c r="D100" s="17" t="inlineStr">
        <is>
          <t>Haskell</t>
        </is>
      </c>
      <c r="E100" s="17" t="inlineStr">
        <is>
          <t>Mascara de Tratamento Ora-Pro-Nobis 500g</t>
        </is>
      </c>
      <c r="F100" s="17" t="inlineStr">
        <is>
          <t>Mascarilla de tratamiento Ora-pro-nobis 500 g</t>
        </is>
      </c>
      <c r="G100" s="17" t="inlineStr">
        <is>
          <t>Ora-pro-nobis</t>
        </is>
      </c>
      <c r="H100" s="17" t="inlineStr">
        <is>
          <t>Tratamentos Capilares</t>
        </is>
      </c>
      <c r="I100" s="17" t="inlineStr">
        <is>
          <t>Tratamientos capilares</t>
        </is>
      </c>
      <c r="J100" s="17" t="inlineStr">
        <is>
          <t>Forca extrema</t>
        </is>
      </c>
      <c r="K100" s="17" t="inlineStr">
        <is>
          <t>Fuerza extrema</t>
        </is>
      </c>
      <c r="L100" s="17" t="inlineStr">
        <is>
          <t>Mascara de Tratamento</t>
        </is>
      </c>
      <c r="M100" s="17" t="inlineStr">
        <is>
          <t>Mascarilla de tratamiento</t>
        </is>
      </c>
      <c r="N100" s="17" t="inlineStr">
        <is>
          <t>500 g</t>
        </is>
      </c>
      <c r="O100" s="17" t="n">
        <v>500</v>
      </c>
      <c r="P100" s="17" t="inlineStr">
        <is>
          <t>g</t>
        </is>
      </c>
      <c r="Q100" s="18" t="n">
        <v>81.90000000000001</v>
      </c>
      <c r="R100" s="18" t="n"/>
      <c r="S100" s="19">
        <f>IF(ISBLANK(R100),0,IFERROR((Q100-R100)/Q100,0))</f>
        <v/>
      </c>
      <c r="T100" s="17">
        <f>R100&lt;&gt;""</f>
        <v/>
      </c>
      <c r="U100" s="17">
        <f>TRUE()</f>
        <v/>
      </c>
      <c r="V100" s="17" t="n"/>
      <c r="W100" s="17" t="inlineStr">
        <is>
          <t>Mascarilla de tratamiento concentrada de la linea Ora-pro-nobis, de uso posterior al champu: fortalece intensamente la fibra capilar y ayuda a prevenir la quiebre en cabello debil.</t>
        </is>
      </c>
      <c r="X100" s="17" t="n"/>
      <c r="Y100" s="17" t="inlineStr">
        <is>
          <t>Tratamiento concentrado | Actua en profundidad sobre la fibra capilar | Refuerza el resultado de la linea</t>
        </is>
      </c>
      <c r="Z100" s="17" t="n"/>
      <c r="AA100" s="17" t="inlineStr">
        <is>
          <t>Tratamiento intensivo</t>
        </is>
      </c>
      <c r="AB100" s="17" t="n"/>
      <c r="AC100" s="17" t="inlineStr">
        <is>
          <t>Aplicar mechon por mechon despues del champu, dejar actuar de 3 a 5 minutos y enjuagar bien.</t>
        </is>
      </c>
      <c r="AD100" s="17" t="inlineStr">
        <is>
          <t>Extrato de ora-pro-nobis</t>
        </is>
      </c>
      <c r="AE100" s="17" t="inlineStr">
        <is>
          <t>Extracto de ora-pro-nobis</t>
        </is>
      </c>
      <c r="AF100" s="17" t="n"/>
      <c r="AG100" s="17" t="n"/>
      <c r="AH100" s="20" t="inlineStr">
        <is>
          <t>mascara-de-tratamento-ora-pro-nobis-500g.webp</t>
        </is>
      </c>
      <c r="AI100" s="17" t="n"/>
      <c r="AJ100" s="17" t="inlineStr">
        <is>
          <t>Cabello debil, fino o quebradizo</t>
        </is>
      </c>
      <c r="AK100" s="17" t="inlineStr">
        <is>
          <t>https://haskellcosmeticos.com.br/tratamentos-capilares/linha-ora-pro-nobis-haskell/</t>
        </is>
      </c>
      <c r="AL100" s="17" t="inlineStr">
        <is>
          <t>2026-07-24</t>
        </is>
      </c>
      <c r="AM100" s="21">
        <f>IF(ISBLANK(Q100),"",Q100*Parametros_PEN!$B$2)</f>
        <v/>
      </c>
      <c r="AN100" s="21">
        <f>IF(ISBLANK(Q100),"",Q100*Parametros_PEN!$B$2*(1+Parametros_PEN!$B$3))</f>
        <v/>
      </c>
      <c r="AO100" s="21">
        <f>IF(ISBLANK(R100),"",R100*Parametros_PEN!$B$2)</f>
        <v/>
      </c>
      <c r="AP100" s="21">
        <f>IF(ISBLANK(R100),"",R100*Parametros_PEN!$B$2*(1+Parametros_PEN!$B$3))</f>
        <v/>
      </c>
    </row>
    <row r="101" ht="35.05" customHeight="1" s="15">
      <c r="A101" s="17" t="inlineStr">
        <is>
          <t>HSK-0100</t>
        </is>
      </c>
      <c r="B101" s="17" t="inlineStr">
        <is>
          <t>finalizador-fortalecedor-ora-pro-nobis-120-ml</t>
        </is>
      </c>
      <c r="C101" s="17" t="n"/>
      <c r="D101" s="17" t="inlineStr">
        <is>
          <t>Haskell</t>
        </is>
      </c>
      <c r="E101" s="17" t="inlineStr">
        <is>
          <t>Finalizador Fortalecedor Ora-Pro-Nobis 120ml</t>
        </is>
      </c>
      <c r="F101" s="17" t="inlineStr">
        <is>
          <t>Finalizador fortalecedor Ora-pro-nobis 120 ml</t>
        </is>
      </c>
      <c r="G101" s="17" t="inlineStr">
        <is>
          <t>Ora-pro-nobis</t>
        </is>
      </c>
      <c r="H101" s="17" t="inlineStr">
        <is>
          <t>Tratamentos Capilares</t>
        </is>
      </c>
      <c r="I101" s="17" t="inlineStr">
        <is>
          <t>Tratamientos capilares</t>
        </is>
      </c>
      <c r="J101" s="17" t="inlineStr">
        <is>
          <t>Forca extrema</t>
        </is>
      </c>
      <c r="K101" s="17" t="inlineStr">
        <is>
          <t>Fuerza extrema</t>
        </is>
      </c>
      <c r="L101" s="17" t="inlineStr">
        <is>
          <t>Finalizador</t>
        </is>
      </c>
      <c r="M101" s="17" t="inlineStr">
        <is>
          <t>Finalizador</t>
        </is>
      </c>
      <c r="N101" s="17" t="inlineStr">
        <is>
          <t>120 ml</t>
        </is>
      </c>
      <c r="O101" s="17" t="n">
        <v>120</v>
      </c>
      <c r="P101" s="17" t="inlineStr">
        <is>
          <t>ml</t>
        </is>
      </c>
      <c r="Q101" s="18" t="n">
        <v>48.9</v>
      </c>
      <c r="R101" s="18" t="n"/>
      <c r="S101" s="19">
        <f>IF(ISBLANK(R101),0,IFERROR((Q101-R101)/Q101,0))</f>
        <v/>
      </c>
      <c r="T101" s="17">
        <f>R101&lt;&gt;""</f>
        <v/>
      </c>
      <c r="U101" s="17">
        <f>TRUE()</f>
        <v/>
      </c>
      <c r="V101" s="17" t="n"/>
      <c r="W101" s="17" t="inlineStr">
        <is>
          <t>Finalizador sin enjuague de la linea Ora-pro-nobis: fortalece intensamente la fibra capilar y ayuda a prevenir la quiebre en cabello debil.</t>
        </is>
      </c>
      <c r="X101" s="17" t="n"/>
      <c r="Y101" s="17" t="inlineStr">
        <is>
          <t>Facilita el peinado | Protege del calor y de agresiones externas</t>
        </is>
      </c>
      <c r="Z101" s="17" t="n"/>
      <c r="AA101" s="17" t="inlineStr">
        <is>
          <t>Finalizador</t>
        </is>
      </c>
      <c r="AB101" s="17" t="n"/>
      <c r="AC101" s="17" t="inlineStr">
        <is>
          <t>Aplicar sobre el cabello limpio y humedo, distribuir en todo el largo.</t>
        </is>
      </c>
      <c r="AD101" s="17" t="inlineStr">
        <is>
          <t>Extrato de ora-pro-nobis</t>
        </is>
      </c>
      <c r="AE101" s="17" t="inlineStr">
        <is>
          <t>Extracto de ora-pro-nobis</t>
        </is>
      </c>
      <c r="AF101" s="17" t="n"/>
      <c r="AG101" s="17" t="n"/>
      <c r="AH101" s="20" t="inlineStr">
        <is>
          <t>finalizador-fortalecedor-ora-pro-nobis-120ml.webp</t>
        </is>
      </c>
      <c r="AI101" s="17" t="n"/>
      <c r="AJ101" s="17" t="inlineStr">
        <is>
          <t>Cabello debil, fino o quebradizo</t>
        </is>
      </c>
      <c r="AK101" s="17" t="inlineStr">
        <is>
          <t>https://haskellcosmeticos.com.br/tratamentos-capilares/linha-ora-pro-nobis-haskell/</t>
        </is>
      </c>
      <c r="AL101" s="17" t="inlineStr">
        <is>
          <t>2026-07-24</t>
        </is>
      </c>
      <c r="AM101" s="21">
        <f>IF(ISBLANK(Q101),"",Q101*Parametros_PEN!$B$2)</f>
        <v/>
      </c>
      <c r="AN101" s="21">
        <f>IF(ISBLANK(Q101),"",Q101*Parametros_PEN!$B$2*(1+Parametros_PEN!$B$3))</f>
        <v/>
      </c>
      <c r="AO101" s="21">
        <f>IF(ISBLANK(R101),"",R101*Parametros_PEN!$B$2)</f>
        <v/>
      </c>
      <c r="AP101" s="21">
        <f>IF(ISBLANK(R101),"",R101*Parametros_PEN!$B$2*(1+Parametros_PEN!$B$3))</f>
        <v/>
      </c>
    </row>
    <row r="102" ht="35.05" customHeight="1" s="15">
      <c r="A102" s="17" t="inlineStr">
        <is>
          <t>HSK-0101</t>
        </is>
      </c>
      <c r="B102" s="17" t="inlineStr">
        <is>
          <t>fluido-capilar-pre-entreno-200-ml</t>
        </is>
      </c>
      <c r="C102" s="17" t="n"/>
      <c r="D102" s="17" t="inlineStr">
        <is>
          <t>Haskell</t>
        </is>
      </c>
      <c r="E102" s="17" t="inlineStr">
        <is>
          <t>Fluido Capilar Pre-Treino 200ml</t>
        </is>
      </c>
      <c r="F102" s="17" t="inlineStr">
        <is>
          <t>Fluido capilar Pre-entreno 200 ml</t>
        </is>
      </c>
      <c r="G102" s="17" t="inlineStr">
        <is>
          <t>Pre-Treino</t>
        </is>
      </c>
      <c r="H102" s="17" t="inlineStr">
        <is>
          <t>Tratamentos Capilares</t>
        </is>
      </c>
      <c r="I102" s="17" t="inlineStr">
        <is>
          <t>Tratamientos capilares</t>
        </is>
      </c>
      <c r="J102" s="17" t="inlineStr">
        <is>
          <t>Protecao para atividade fisica</t>
        </is>
      </c>
      <c r="K102" s="17" t="inlineStr">
        <is>
          <t>Proteccion para actividad fisica</t>
        </is>
      </c>
      <c r="L102" s="17" t="inlineStr">
        <is>
          <t>Fluido</t>
        </is>
      </c>
      <c r="M102" s="17" t="inlineStr">
        <is>
          <t>Fluido finalizador</t>
        </is>
      </c>
      <c r="N102" s="17" t="inlineStr">
        <is>
          <t>200 ml</t>
        </is>
      </c>
      <c r="O102" s="17" t="n">
        <v>200</v>
      </c>
      <c r="P102" s="17" t="inlineStr">
        <is>
          <t>ml</t>
        </is>
      </c>
      <c r="Q102" s="18" t="n">
        <v>59.9</v>
      </c>
      <c r="R102" s="18" t="n"/>
      <c r="S102" s="19">
        <f>IF(ISBLANK(R102),0,IFERROR((Q102-R102)/Q102,0))</f>
        <v/>
      </c>
      <c r="T102" s="17">
        <f>R102&lt;&gt;""</f>
        <v/>
      </c>
      <c r="U102" s="17">
        <f>TRUE()</f>
        <v/>
      </c>
      <c r="V102" s="17" t="n"/>
      <c r="W102" s="17" t="inlineStr">
        <is>
          <t>Fluido finalizador sin enjuague de la linea Pre-Treino: protege el cabello del sudor, el frizz y la exposicion solar durante el ejercicio.</t>
        </is>
      </c>
      <c r="X102" s="17" t="n"/>
      <c r="Y102" s="17" t="inlineStr">
        <is>
          <t>Finalizador sin enjuague | Facilita el peinado | Protege del calor y de agresiones externas</t>
        </is>
      </c>
      <c r="Z102" s="17" t="n"/>
      <c r="AA102" s="17" t="inlineStr">
        <is>
          <t>Finalizador</t>
        </is>
      </c>
      <c r="AB102" s="17" t="n"/>
      <c r="AC102" s="17" t="inlineStr">
        <is>
          <t>Aplicar sobre el cabello limpio y humedo, distribuir en todo el largo y finalizar como se prefiera.</t>
        </is>
      </c>
      <c r="AD102" s="17" t="inlineStr">
        <is>
          <t>Vitamina E | Cera de arroz</t>
        </is>
      </c>
      <c r="AE102" s="17" t="inlineStr">
        <is>
          <t>Vitamina E | Cera de arroz</t>
        </is>
      </c>
      <c r="AF102" s="17" t="n"/>
      <c r="AG102" s="17" t="n"/>
      <c r="AH102" s="20" t="inlineStr">
        <is>
          <t>fluido-capilar-pre-treino.webp</t>
        </is>
      </c>
      <c r="AI102" s="20" t="inlineStr">
        <is>
          <t>fluido-capilar-pre-treino_02.webp</t>
        </is>
      </c>
      <c r="AJ102" s="17" t="inlineStr">
        <is>
          <t>Personas que entrenan con frecuencia y exponen el cabello al sudor</t>
        </is>
      </c>
      <c r="AK102" s="17" t="inlineStr">
        <is>
          <t>https://haskellcosmeticos.com.br/tratamentos-capilares/pre-treino/</t>
        </is>
      </c>
      <c r="AL102" s="17" t="inlineStr">
        <is>
          <t>2026-07-24</t>
        </is>
      </c>
      <c r="AM102" s="21">
        <f>IF(ISBLANK(Q102),"",Q102*Parametros_PEN!$B$2)</f>
        <v/>
      </c>
      <c r="AN102" s="21">
        <f>IF(ISBLANK(Q102),"",Q102*Parametros_PEN!$B$2*(1+Parametros_PEN!$B$3))</f>
        <v/>
      </c>
      <c r="AO102" s="21">
        <f>IF(ISBLANK(R102),"",R102*Parametros_PEN!$B$2)</f>
        <v/>
      </c>
      <c r="AP102" s="21">
        <f>IF(ISBLANK(R102),"",R102*Parametros_PEN!$B$2*(1+Parametros_PEN!$B$3))</f>
        <v/>
      </c>
    </row>
    <row r="103" ht="46.25" customHeight="1" s="15">
      <c r="A103" s="17" t="inlineStr">
        <is>
          <t>HSK-0102</t>
        </is>
      </c>
      <c r="B103" s="17" t="inlineStr">
        <is>
          <t>champu-posprogresiva-300-ml</t>
        </is>
      </c>
      <c r="C103" s="17" t="n"/>
      <c r="D103" s="17" t="inlineStr">
        <is>
          <t>Haskell</t>
        </is>
      </c>
      <c r="E103" s="17" t="inlineStr">
        <is>
          <t>Shampoo Pos-Progressiva 300ml</t>
        </is>
      </c>
      <c r="F103" s="17" t="inlineStr">
        <is>
          <t>Champu Posprogresiva 300 ml</t>
        </is>
      </c>
      <c r="G103" s="17" t="inlineStr">
        <is>
          <t>Pos-Progressiva</t>
        </is>
      </c>
      <c r="H103" s="17" t="inlineStr">
        <is>
          <t>Tratamentos Capilares</t>
        </is>
      </c>
      <c r="I103" s="17" t="inlineStr">
        <is>
          <t>Tratamientos capilares</t>
        </is>
      </c>
      <c r="J103" s="17" t="inlineStr">
        <is>
          <t>Manutencao do alisamento</t>
        </is>
      </c>
      <c r="K103" s="17" t="inlineStr">
        <is>
          <t>Mantenimiento de alisado</t>
        </is>
      </c>
      <c r="L103" s="17" t="inlineStr">
        <is>
          <t>Shampoo</t>
        </is>
      </c>
      <c r="M103" s="17" t="inlineStr">
        <is>
          <t>Champu</t>
        </is>
      </c>
      <c r="N103" s="17" t="inlineStr">
        <is>
          <t>300 ml</t>
        </is>
      </c>
      <c r="O103" s="17" t="n">
        <v>300</v>
      </c>
      <c r="P103" s="17" t="inlineStr">
        <is>
          <t>ml</t>
        </is>
      </c>
      <c r="Q103" s="18" t="n">
        <v>62.9</v>
      </c>
      <c r="R103" s="18" t="n"/>
      <c r="S103" s="19">
        <f>IF(ISBLANK(R103),0,IFERROR((Q103-R103)/Q103,0))</f>
        <v/>
      </c>
      <c r="T103" s="17">
        <f>R103&lt;&gt;""</f>
        <v/>
      </c>
      <c r="U103" s="17">
        <f>TRUE()</f>
        <v/>
      </c>
      <c r="V103" s="17" t="n"/>
      <c r="W103" s="17" t="inlineStr">
        <is>
          <t>Champu de limpieza suave de la linea Pos-Progressiva, que prepara el cabello para el tratamiento: ayuda a mantener el efecto del alisado progresivo por mas tiempo.</t>
        </is>
      </c>
      <c r="X103" s="17" t="n"/>
      <c r="Y103" s="17" t="inlineStr">
        <is>
          <t>Limpieza suave sin resecar | Prepara el cabello para el resto de la rutina | Respeta el equilibrio del cuero cabelludo</t>
        </is>
      </c>
      <c r="Z103" s="17" t="n"/>
      <c r="AA103" s="17" t="inlineStr">
        <is>
          <t>Limpiador suave</t>
        </is>
      </c>
      <c r="AB103" s="17" t="n"/>
      <c r="AC103" s="17" t="inlineStr">
        <is>
          <t>Aplicar sobre el cabello mojado, masajear el cuero cabelludo con movimientos suaves y enjuagar bien.</t>
        </is>
      </c>
      <c r="AD103" s="17" t="n"/>
      <c r="AE103" s="17" t="n"/>
      <c r="AF103" s="17" t="n"/>
      <c r="AG103" s="17" t="n"/>
      <c r="AH103" s="20" t="inlineStr">
        <is>
          <t>shampoo-pos-progressiva-haskell-300ml.webp</t>
        </is>
      </c>
      <c r="AI103" s="17" t="n"/>
      <c r="AJ103" s="17" t="inlineStr">
        <is>
          <t>Cabello con alisado progresivo reciente</t>
        </is>
      </c>
      <c r="AK103" s="17" t="inlineStr">
        <is>
          <t>https://haskellcosmeticos.com.br/tratamentos-capilares/linha-pos-progressiva-haskell/</t>
        </is>
      </c>
      <c r="AL103" s="17" t="inlineStr">
        <is>
          <t>2026-07-24</t>
        </is>
      </c>
      <c r="AM103" s="21">
        <f>IF(ISBLANK(Q103),"",Q103*Parametros_PEN!$B$2)</f>
        <v/>
      </c>
      <c r="AN103" s="21">
        <f>IF(ISBLANK(Q103),"",Q103*Parametros_PEN!$B$2*(1+Parametros_PEN!$B$3))</f>
        <v/>
      </c>
      <c r="AO103" s="21">
        <f>IF(ISBLANK(R103),"",R103*Parametros_PEN!$B$2)</f>
        <v/>
      </c>
      <c r="AP103" s="21">
        <f>IF(ISBLANK(R103),"",R103*Parametros_PEN!$B$2*(1+Parametros_PEN!$B$3))</f>
        <v/>
      </c>
    </row>
    <row r="104" ht="46.25" customHeight="1" s="15">
      <c r="A104" s="17" t="inlineStr">
        <is>
          <t>HSK-0103</t>
        </is>
      </c>
      <c r="B104" s="17" t="inlineStr">
        <is>
          <t>champu-posprogresiva-500-ml</t>
        </is>
      </c>
      <c r="C104" s="17" t="n"/>
      <c r="D104" s="17" t="inlineStr">
        <is>
          <t>Haskell</t>
        </is>
      </c>
      <c r="E104" s="17" t="inlineStr">
        <is>
          <t>Shampoo Pos-Progressiva 500ml</t>
        </is>
      </c>
      <c r="F104" s="17" t="inlineStr">
        <is>
          <t>Champu Posprogresiva 500 ml</t>
        </is>
      </c>
      <c r="G104" s="17" t="inlineStr">
        <is>
          <t>Pos-Progressiva</t>
        </is>
      </c>
      <c r="H104" s="17" t="inlineStr">
        <is>
          <t>Tratamentos Capilares</t>
        </is>
      </c>
      <c r="I104" s="17" t="inlineStr">
        <is>
          <t>Tratamientos capilares</t>
        </is>
      </c>
      <c r="J104" s="17" t="inlineStr">
        <is>
          <t>Manutencao do alisamento</t>
        </is>
      </c>
      <c r="K104" s="17" t="inlineStr">
        <is>
          <t>Mantenimiento de alisado</t>
        </is>
      </c>
      <c r="L104" s="17" t="inlineStr">
        <is>
          <t>Shampoo</t>
        </is>
      </c>
      <c r="M104" s="17" t="inlineStr">
        <is>
          <t>Champu</t>
        </is>
      </c>
      <c r="N104" s="17" t="inlineStr">
        <is>
          <t>500 ml</t>
        </is>
      </c>
      <c r="O104" s="17" t="n">
        <v>500</v>
      </c>
      <c r="P104" s="17" t="inlineStr">
        <is>
          <t>ml</t>
        </is>
      </c>
      <c r="Q104" s="18" t="n">
        <v>84.90000000000001</v>
      </c>
      <c r="R104" s="18" t="n"/>
      <c r="S104" s="19">
        <f>IF(ISBLANK(R104),0,IFERROR((Q104-R104)/Q104,0))</f>
        <v/>
      </c>
      <c r="T104" s="17">
        <f>R104&lt;&gt;""</f>
        <v/>
      </c>
      <c r="U104" s="17">
        <f>TRUE()</f>
        <v/>
      </c>
      <c r="V104" s="17" t="n"/>
      <c r="W104" s="17" t="inlineStr">
        <is>
          <t>Champu de limpieza suave de la linea Pos-Progressiva, que prepara el cabello para el tratamiento: ayuda a mantener el efecto del alisado progresivo por mas tiempo.</t>
        </is>
      </c>
      <c r="X104" s="17" t="n"/>
      <c r="Y104" s="17" t="inlineStr">
        <is>
          <t>Limpieza suave sin resecar | Prepara el cabello para el resto de la rutina | Respeta el equilibrio del cuero cabelludo</t>
        </is>
      </c>
      <c r="Z104" s="17" t="n"/>
      <c r="AA104" s="17" t="inlineStr">
        <is>
          <t>Limpiador suave</t>
        </is>
      </c>
      <c r="AB104" s="17" t="n"/>
      <c r="AC104" s="17" t="inlineStr">
        <is>
          <t>Aplicar sobre el cabello mojado, masajear el cuero cabelludo con movimientos suaves y enjuagar bien.</t>
        </is>
      </c>
      <c r="AD104" s="17" t="n"/>
      <c r="AE104" s="17" t="n"/>
      <c r="AF104" s="17" t="n"/>
      <c r="AG104" s="17" t="n"/>
      <c r="AH104" s="20" t="inlineStr">
        <is>
          <t>shampoo-pos-progressiva-500ml.webp</t>
        </is>
      </c>
      <c r="AI104" s="17" t="n"/>
      <c r="AJ104" s="17" t="inlineStr">
        <is>
          <t>Cabello con alisado progresivo reciente</t>
        </is>
      </c>
      <c r="AK104" s="17" t="inlineStr">
        <is>
          <t>https://haskellcosmeticos.com.br/tratamentos-capilares/linha-pos-progressiva-haskell/</t>
        </is>
      </c>
      <c r="AL104" s="17" t="inlineStr">
        <is>
          <t>2026-07-24</t>
        </is>
      </c>
      <c r="AM104" s="21">
        <f>IF(ISBLANK(Q104),"",Q104*Parametros_PEN!$B$2)</f>
        <v/>
      </c>
      <c r="AN104" s="21">
        <f>IF(ISBLANK(Q104),"",Q104*Parametros_PEN!$B$2*(1+Parametros_PEN!$B$3))</f>
        <v/>
      </c>
      <c r="AO104" s="21">
        <f>IF(ISBLANK(R104),"",R104*Parametros_PEN!$B$2)</f>
        <v/>
      </c>
      <c r="AP104" s="21">
        <f>IF(ISBLANK(R104),"",R104*Parametros_PEN!$B$2*(1+Parametros_PEN!$B$3))</f>
        <v/>
      </c>
    </row>
    <row r="105" ht="35.05" customHeight="1" s="15">
      <c r="A105" s="17" t="inlineStr">
        <is>
          <t>HSK-0104</t>
        </is>
      </c>
      <c r="B105" s="17" t="inlineStr">
        <is>
          <t>acondicionador-posprogresiva-300-ml</t>
        </is>
      </c>
      <c r="C105" s="17" t="n"/>
      <c r="D105" s="17" t="inlineStr">
        <is>
          <t>Haskell</t>
        </is>
      </c>
      <c r="E105" s="17" t="inlineStr">
        <is>
          <t>Condicionador Pos-Progressiva 300ml</t>
        </is>
      </c>
      <c r="F105" s="17" t="inlineStr">
        <is>
          <t>Acondicionador Posprogresiva 300 ml</t>
        </is>
      </c>
      <c r="G105" s="17" t="inlineStr">
        <is>
          <t>Pos-Progressiva</t>
        </is>
      </c>
      <c r="H105" s="17" t="inlineStr">
        <is>
          <t>Tratamentos Capilares</t>
        </is>
      </c>
      <c r="I105" s="17" t="inlineStr">
        <is>
          <t>Tratamientos capilares</t>
        </is>
      </c>
      <c r="J105" s="17" t="inlineStr">
        <is>
          <t>Manutencao do alisamento</t>
        </is>
      </c>
      <c r="K105" s="17" t="inlineStr">
        <is>
          <t>Mantenimiento de alisado</t>
        </is>
      </c>
      <c r="L105" s="17" t="inlineStr">
        <is>
          <t>Condicionador</t>
        </is>
      </c>
      <c r="M105" s="17" t="inlineStr">
        <is>
          <t>Acondicionador</t>
        </is>
      </c>
      <c r="N105" s="17" t="inlineStr">
        <is>
          <t>300 ml</t>
        </is>
      </c>
      <c r="O105" s="17" t="n">
        <v>300</v>
      </c>
      <c r="P105" s="17" t="inlineStr">
        <is>
          <t>ml</t>
        </is>
      </c>
      <c r="Q105" s="18" t="n">
        <v>62.9</v>
      </c>
      <c r="R105" s="18" t="n"/>
      <c r="S105" s="19">
        <f>IF(ISBLANK(R105),0,IFERROR((Q105-R105)/Q105,0))</f>
        <v/>
      </c>
      <c r="T105" s="17">
        <f>R105&lt;&gt;""</f>
        <v/>
      </c>
      <c r="U105" s="17">
        <f>TRUE()</f>
        <v/>
      </c>
      <c r="V105" s="17" t="n"/>
      <c r="W105" s="17" t="inlineStr">
        <is>
          <t>Acondicionador de la linea Pos-Progressiva que facilita el desenredado y sella la cuticula: ayuda a mantener el efecto del alisado progresivo por mas tiempo.</t>
        </is>
      </c>
      <c r="X105" s="17" t="n"/>
      <c r="Y105" s="17" t="inlineStr">
        <is>
          <t>Facilita el desenredado | Sella la cuticula | Aporta suavidad y brillo</t>
        </is>
      </c>
      <c r="Z105" s="17" t="n"/>
      <c r="AA105" s="17" t="inlineStr">
        <is>
          <t>Acondicionador</t>
        </is>
      </c>
      <c r="AB105" s="17" t="n"/>
      <c r="AC105" s="17" t="inlineStr">
        <is>
          <t>Aplicar en el largo y las puntas del cabello despues del champu, dejar actuar unos minutos y enjuagar.</t>
        </is>
      </c>
      <c r="AD105" s="17" t="n"/>
      <c r="AE105" s="17" t="n"/>
      <c r="AF105" s="17" t="n"/>
      <c r="AG105" s="17" t="n"/>
      <c r="AH105" s="20" t="inlineStr">
        <is>
          <t>condicionador-pos-progressiva-haskell-300ml.webp</t>
        </is>
      </c>
      <c r="AI105" s="17" t="n"/>
      <c r="AJ105" s="17" t="inlineStr">
        <is>
          <t>Cabello con alisado progresivo reciente</t>
        </is>
      </c>
      <c r="AK105" s="17" t="inlineStr">
        <is>
          <t>https://haskellcosmeticos.com.br/tratamentos-capilares/linha-pos-progressiva-haskell/</t>
        </is>
      </c>
      <c r="AL105" s="17" t="inlineStr">
        <is>
          <t>2026-07-24</t>
        </is>
      </c>
      <c r="AM105" s="21">
        <f>IF(ISBLANK(Q105),"",Q105*Parametros_PEN!$B$2)</f>
        <v/>
      </c>
      <c r="AN105" s="21">
        <f>IF(ISBLANK(Q105),"",Q105*Parametros_PEN!$B$2*(1+Parametros_PEN!$B$3))</f>
        <v/>
      </c>
      <c r="AO105" s="21">
        <f>IF(ISBLANK(R105),"",R105*Parametros_PEN!$B$2)</f>
        <v/>
      </c>
      <c r="AP105" s="21">
        <f>IF(ISBLANK(R105),"",R105*Parametros_PEN!$B$2*(1+Parametros_PEN!$B$3))</f>
        <v/>
      </c>
    </row>
    <row r="106" ht="35.05" customHeight="1" s="15">
      <c r="A106" s="17" t="inlineStr">
        <is>
          <t>HSK-0105</t>
        </is>
      </c>
      <c r="B106" s="17" t="inlineStr">
        <is>
          <t>acondicionador-posprogresiva-500-ml</t>
        </is>
      </c>
      <c r="C106" s="17" t="n"/>
      <c r="D106" s="17" t="inlineStr">
        <is>
          <t>Haskell</t>
        </is>
      </c>
      <c r="E106" s="17" t="inlineStr">
        <is>
          <t>Condicionador Pos-Progressiva 500ml</t>
        </is>
      </c>
      <c r="F106" s="17" t="inlineStr">
        <is>
          <t>Acondicionador Posprogresiva 500 ml</t>
        </is>
      </c>
      <c r="G106" s="17" t="inlineStr">
        <is>
          <t>Pos-Progressiva</t>
        </is>
      </c>
      <c r="H106" s="17" t="inlineStr">
        <is>
          <t>Tratamentos Capilares</t>
        </is>
      </c>
      <c r="I106" s="17" t="inlineStr">
        <is>
          <t>Tratamientos capilares</t>
        </is>
      </c>
      <c r="J106" s="17" t="inlineStr">
        <is>
          <t>Manutencao do alisamento</t>
        </is>
      </c>
      <c r="K106" s="17" t="inlineStr">
        <is>
          <t>Mantenimiento de alisado</t>
        </is>
      </c>
      <c r="L106" s="17" t="inlineStr">
        <is>
          <t>Condicionador</t>
        </is>
      </c>
      <c r="M106" s="17" t="inlineStr">
        <is>
          <t>Acondicionador</t>
        </is>
      </c>
      <c r="N106" s="17" t="inlineStr">
        <is>
          <t>500 ml</t>
        </is>
      </c>
      <c r="O106" s="17" t="n">
        <v>500</v>
      </c>
      <c r="P106" s="17" t="inlineStr">
        <is>
          <t>ml</t>
        </is>
      </c>
      <c r="Q106" s="18" t="n">
        <v>84.90000000000001</v>
      </c>
      <c r="R106" s="18" t="n"/>
      <c r="S106" s="19">
        <f>IF(ISBLANK(R106),0,IFERROR((Q106-R106)/Q106,0))</f>
        <v/>
      </c>
      <c r="T106" s="17">
        <f>R106&lt;&gt;""</f>
        <v/>
      </c>
      <c r="U106" s="17">
        <f>TRUE()</f>
        <v/>
      </c>
      <c r="V106" s="17" t="n"/>
      <c r="W106" s="17" t="inlineStr">
        <is>
          <t>Acondicionador de la linea Pos-Progressiva que facilita el desenredado y sella la cuticula: ayuda a mantener el efecto del alisado progresivo por mas tiempo.</t>
        </is>
      </c>
      <c r="X106" s="17" t="n"/>
      <c r="Y106" s="17" t="inlineStr">
        <is>
          <t>Facilita el desenredado | Sella la cuticula | Aporta suavidad y brillo</t>
        </is>
      </c>
      <c r="Z106" s="17" t="n"/>
      <c r="AA106" s="17" t="inlineStr">
        <is>
          <t>Acondicionador</t>
        </is>
      </c>
      <c r="AB106" s="17" t="n"/>
      <c r="AC106" s="17" t="inlineStr">
        <is>
          <t>Aplicar en el largo y las puntas del cabello despues del champu, dejar actuar unos minutos y enjuagar.</t>
        </is>
      </c>
      <c r="AD106" s="17" t="n"/>
      <c r="AE106" s="17" t="n"/>
      <c r="AF106" s="17" t="n"/>
      <c r="AG106" s="17" t="n"/>
      <c r="AH106" s="20" t="inlineStr">
        <is>
          <t>condicionador-pos-progressiva-haskell-500ml.webp</t>
        </is>
      </c>
      <c r="AI106" s="17" t="n"/>
      <c r="AJ106" s="17" t="inlineStr">
        <is>
          <t>Cabello con alisado progresivo reciente</t>
        </is>
      </c>
      <c r="AK106" s="17" t="inlineStr">
        <is>
          <t>https://haskellcosmeticos.com.br/tratamentos-capilares/linha-pos-progressiva-haskell/</t>
        </is>
      </c>
      <c r="AL106" s="17" t="inlineStr">
        <is>
          <t>2026-07-24</t>
        </is>
      </c>
      <c r="AM106" s="21">
        <f>IF(ISBLANK(Q106),"",Q106*Parametros_PEN!$B$2)</f>
        <v/>
      </c>
      <c r="AN106" s="21">
        <f>IF(ISBLANK(Q106),"",Q106*Parametros_PEN!$B$2*(1+Parametros_PEN!$B$3))</f>
        <v/>
      </c>
      <c r="AO106" s="21">
        <f>IF(ISBLANK(R106),"",R106*Parametros_PEN!$B$2)</f>
        <v/>
      </c>
      <c r="AP106" s="21">
        <f>IF(ISBLANK(R106),"",R106*Parametros_PEN!$B$2*(1+Parametros_PEN!$B$3))</f>
        <v/>
      </c>
    </row>
    <row r="107" ht="46.25" customHeight="1" s="15">
      <c r="A107" s="17" t="inlineStr">
        <is>
          <t>HSK-0106</t>
        </is>
      </c>
      <c r="B107" s="17" t="inlineStr">
        <is>
          <t>mascarilla-de-tratamiento-posprogresiva-300-g</t>
        </is>
      </c>
      <c r="C107" s="17" t="n"/>
      <c r="D107" s="17" t="inlineStr">
        <is>
          <t>Haskell</t>
        </is>
      </c>
      <c r="E107" s="17" t="inlineStr">
        <is>
          <t>Mascara de Tratamento Pos-Progressiva 300g</t>
        </is>
      </c>
      <c r="F107" s="17" t="inlineStr">
        <is>
          <t>Mascarilla de tratamiento Posprogresiva 300 g</t>
        </is>
      </c>
      <c r="G107" s="17" t="inlineStr">
        <is>
          <t>Pos-Progressiva</t>
        </is>
      </c>
      <c r="H107" s="17" t="inlineStr">
        <is>
          <t>Tratamentos Capilares</t>
        </is>
      </c>
      <c r="I107" s="17" t="inlineStr">
        <is>
          <t>Tratamientos capilares</t>
        </is>
      </c>
      <c r="J107" s="17" t="inlineStr">
        <is>
          <t>Manutencao do alisamento</t>
        </is>
      </c>
      <c r="K107" s="17" t="inlineStr">
        <is>
          <t>Mantenimiento de alisado</t>
        </is>
      </c>
      <c r="L107" s="17" t="inlineStr">
        <is>
          <t>Mascara de Tratamento</t>
        </is>
      </c>
      <c r="M107" s="17" t="inlineStr">
        <is>
          <t>Mascarilla de tratamiento</t>
        </is>
      </c>
      <c r="N107" s="17" t="inlineStr">
        <is>
          <t>300 g</t>
        </is>
      </c>
      <c r="O107" s="17" t="n">
        <v>300</v>
      </c>
      <c r="P107" s="17" t="inlineStr">
        <is>
          <t>g</t>
        </is>
      </c>
      <c r="Q107" s="18" t="n">
        <v>74.90000000000001</v>
      </c>
      <c r="R107" s="18" t="n"/>
      <c r="S107" s="19">
        <f>IF(ISBLANK(R107),0,IFERROR((Q107-R107)/Q107,0))</f>
        <v/>
      </c>
      <c r="T107" s="17">
        <f>R107&lt;&gt;""</f>
        <v/>
      </c>
      <c r="U107" s="17">
        <f>TRUE()</f>
        <v/>
      </c>
      <c r="V107" s="17" t="n"/>
      <c r="W107" s="17" t="inlineStr">
        <is>
          <t>Mascarilla de tratamiento concentrada de la linea Pos-Progressiva, de uso posterior al champu: ayuda a mantener el efecto del alisado progresivo por mas tiempo.</t>
        </is>
      </c>
      <c r="X107" s="17" t="n"/>
      <c r="Y107" s="17" t="inlineStr">
        <is>
          <t>Tratamiento concentrado | Actua en profundidad sobre la fibra capilar | Refuerza el resultado de la linea</t>
        </is>
      </c>
      <c r="Z107" s="17" t="n"/>
      <c r="AA107" s="17" t="inlineStr">
        <is>
          <t>Tratamiento intensivo</t>
        </is>
      </c>
      <c r="AB107" s="17" t="n"/>
      <c r="AC107" s="17" t="inlineStr">
        <is>
          <t>Aplicar mechon por mechon despues del champu, dejar actuar de 3 a 5 minutos y enjuagar bien.</t>
        </is>
      </c>
      <c r="AD107" s="17" t="n"/>
      <c r="AE107" s="17" t="n"/>
      <c r="AF107" s="17" t="n"/>
      <c r="AG107" s="17" t="n"/>
      <c r="AH107" s="20" t="inlineStr">
        <is>
          <t>mascara-de-tratamento-pos-progressiva-300g-kxuj9.webp</t>
        </is>
      </c>
      <c r="AI107" s="17" t="n"/>
      <c r="AJ107" s="17" t="inlineStr">
        <is>
          <t>Cabello con alisado progresivo reciente</t>
        </is>
      </c>
      <c r="AK107" s="17" t="inlineStr">
        <is>
          <t>https://haskellcosmeticos.com.br/tratamentos-capilares/linha-pos-progressiva-haskell/</t>
        </is>
      </c>
      <c r="AL107" s="17" t="inlineStr">
        <is>
          <t>2026-07-24</t>
        </is>
      </c>
      <c r="AM107" s="21">
        <f>IF(ISBLANK(Q107),"",Q107*Parametros_PEN!$B$2)</f>
        <v/>
      </c>
      <c r="AN107" s="21">
        <f>IF(ISBLANK(Q107),"",Q107*Parametros_PEN!$B$2*(1+Parametros_PEN!$B$3))</f>
        <v/>
      </c>
      <c r="AO107" s="21">
        <f>IF(ISBLANK(R107),"",R107*Parametros_PEN!$B$2)</f>
        <v/>
      </c>
      <c r="AP107" s="21">
        <f>IF(ISBLANK(R107),"",R107*Parametros_PEN!$B$2*(1+Parametros_PEN!$B$3))</f>
        <v/>
      </c>
    </row>
    <row r="108" ht="46.25" customHeight="1" s="15">
      <c r="A108" s="17" t="inlineStr">
        <is>
          <t>HSK-0107</t>
        </is>
      </c>
      <c r="B108" s="17" t="inlineStr">
        <is>
          <t>mascarilla-de-tratamiento-posprogresiva-500-g</t>
        </is>
      </c>
      <c r="C108" s="17" t="n"/>
      <c r="D108" s="17" t="inlineStr">
        <is>
          <t>Haskell</t>
        </is>
      </c>
      <c r="E108" s="17" t="inlineStr">
        <is>
          <t>Mascara de Tratamento Pos-Progressiva 500g</t>
        </is>
      </c>
      <c r="F108" s="17" t="inlineStr">
        <is>
          <t>Mascarilla de tratamiento Posprogresiva 500 g</t>
        </is>
      </c>
      <c r="G108" s="17" t="inlineStr">
        <is>
          <t>Pos-Progressiva</t>
        </is>
      </c>
      <c r="H108" s="17" t="inlineStr">
        <is>
          <t>Tratamentos Capilares</t>
        </is>
      </c>
      <c r="I108" s="17" t="inlineStr">
        <is>
          <t>Tratamientos capilares</t>
        </is>
      </c>
      <c r="J108" s="17" t="inlineStr">
        <is>
          <t>Manutencao do alisamento</t>
        </is>
      </c>
      <c r="K108" s="17" t="inlineStr">
        <is>
          <t>Mantenimiento de alisado</t>
        </is>
      </c>
      <c r="L108" s="17" t="inlineStr">
        <is>
          <t>Mascara de Tratamento</t>
        </is>
      </c>
      <c r="M108" s="17" t="inlineStr">
        <is>
          <t>Mascarilla de tratamiento</t>
        </is>
      </c>
      <c r="N108" s="17" t="inlineStr">
        <is>
          <t>500 g</t>
        </is>
      </c>
      <c r="O108" s="17" t="n">
        <v>500</v>
      </c>
      <c r="P108" s="17" t="inlineStr">
        <is>
          <t>g</t>
        </is>
      </c>
      <c r="Q108" s="18" t="n">
        <v>89.90000000000001</v>
      </c>
      <c r="R108" s="18" t="n"/>
      <c r="S108" s="19">
        <f>IF(ISBLANK(R108),0,IFERROR((Q108-R108)/Q108,0))</f>
        <v/>
      </c>
      <c r="T108" s="17">
        <f>R108&lt;&gt;""</f>
        <v/>
      </c>
      <c r="U108" s="17">
        <f>TRUE()</f>
        <v/>
      </c>
      <c r="V108" s="17" t="n"/>
      <c r="W108" s="17" t="inlineStr">
        <is>
          <t>Mascarilla de tratamiento concentrada de la linea Pos-Progressiva, de uso posterior al champu: ayuda a mantener el efecto del alisado progresivo por mas tiempo.</t>
        </is>
      </c>
      <c r="X108" s="17" t="n"/>
      <c r="Y108" s="17" t="inlineStr">
        <is>
          <t>Tratamiento concentrado | Actua en profundidad sobre la fibra capilar | Refuerza el resultado de la linea</t>
        </is>
      </c>
      <c r="Z108" s="17" t="n"/>
      <c r="AA108" s="17" t="inlineStr">
        <is>
          <t>Tratamiento intensivo</t>
        </is>
      </c>
      <c r="AB108" s="17" t="n"/>
      <c r="AC108" s="17" t="inlineStr">
        <is>
          <t>Aplicar mechon por mechon despues del champu, dejar actuar de 3 a 5 minutos y enjuagar bien.</t>
        </is>
      </c>
      <c r="AD108" s="17" t="n"/>
      <c r="AE108" s="17" t="n"/>
      <c r="AF108" s="17" t="n"/>
      <c r="AG108" s="17" t="n"/>
      <c r="AH108" s="20" t="inlineStr">
        <is>
          <t>mascara-de-tratamento-pos-progressiva-500g-e3859.webp</t>
        </is>
      </c>
      <c r="AI108" s="17" t="n"/>
      <c r="AJ108" s="17" t="inlineStr">
        <is>
          <t>Cabello con alisado progresivo reciente</t>
        </is>
      </c>
      <c r="AK108" s="17" t="inlineStr">
        <is>
          <t>https://haskellcosmeticos.com.br/tratamentos-capilares/linha-pos-progressiva-haskell/</t>
        </is>
      </c>
      <c r="AL108" s="17" t="inlineStr">
        <is>
          <t>2026-07-24</t>
        </is>
      </c>
      <c r="AM108" s="21">
        <f>IF(ISBLANK(Q108),"",Q108*Parametros_PEN!$B$2)</f>
        <v/>
      </c>
      <c r="AN108" s="21">
        <f>IF(ISBLANK(Q108),"",Q108*Parametros_PEN!$B$2*(1+Parametros_PEN!$B$3))</f>
        <v/>
      </c>
      <c r="AO108" s="21">
        <f>IF(ISBLANK(R108),"",R108*Parametros_PEN!$B$2)</f>
        <v/>
      </c>
      <c r="AP108" s="21">
        <f>IF(ISBLANK(R108),"",R108*Parametros_PEN!$B$2*(1+Parametros_PEN!$B$3))</f>
        <v/>
      </c>
    </row>
    <row r="109" ht="35.05" customHeight="1" s="15">
      <c r="A109" s="17" t="inlineStr">
        <is>
          <t>HSK-0108</t>
        </is>
      </c>
      <c r="B109" s="17" t="inlineStr">
        <is>
          <t>fluido-alineador-posprogresiva-120-ml</t>
        </is>
      </c>
      <c r="C109" s="17" t="n"/>
      <c r="D109" s="17" t="inlineStr">
        <is>
          <t>Haskell</t>
        </is>
      </c>
      <c r="E109" s="17" t="inlineStr">
        <is>
          <t>Fluido Alinhador Pos-Progressiva 120ml</t>
        </is>
      </c>
      <c r="F109" s="17" t="inlineStr">
        <is>
          <t>Fluido alineador Posprogresiva 120 ml</t>
        </is>
      </c>
      <c r="G109" s="17" t="inlineStr">
        <is>
          <t>Pos-Progressiva</t>
        </is>
      </c>
      <c r="H109" s="17" t="inlineStr">
        <is>
          <t>Tratamentos Capilares</t>
        </is>
      </c>
      <c r="I109" s="17" t="inlineStr">
        <is>
          <t>Tratamientos capilares</t>
        </is>
      </c>
      <c r="J109" s="17" t="inlineStr">
        <is>
          <t>Manutencao do alisamento</t>
        </is>
      </c>
      <c r="K109" s="17" t="inlineStr">
        <is>
          <t>Mantenimiento de alisado</t>
        </is>
      </c>
      <c r="L109" s="17" t="inlineStr">
        <is>
          <t>Fluido</t>
        </is>
      </c>
      <c r="M109" s="17" t="inlineStr">
        <is>
          <t>Fluido finalizador</t>
        </is>
      </c>
      <c r="N109" s="17" t="inlineStr">
        <is>
          <t>120 ml</t>
        </is>
      </c>
      <c r="O109" s="17" t="n">
        <v>120</v>
      </c>
      <c r="P109" s="17" t="inlineStr">
        <is>
          <t>ml</t>
        </is>
      </c>
      <c r="Q109" s="18" t="n">
        <v>48.9</v>
      </c>
      <c r="R109" s="18" t="n"/>
      <c r="S109" s="19">
        <f>IF(ISBLANK(R109),0,IFERROR((Q109-R109)/Q109,0))</f>
        <v/>
      </c>
      <c r="T109" s="17">
        <f>R109&lt;&gt;""</f>
        <v/>
      </c>
      <c r="U109" s="17">
        <f>TRUE()</f>
        <v/>
      </c>
      <c r="V109" s="17" t="n"/>
      <c r="W109" s="17" t="inlineStr">
        <is>
          <t>Fluido finalizador sin enjuague de la linea Pos-Progressiva: ayuda a mantener el efecto del alisado progresivo por mas tiempo.</t>
        </is>
      </c>
      <c r="X109" s="17" t="n"/>
      <c r="Y109" s="17" t="inlineStr">
        <is>
          <t>Finalizador sin enjuague | Facilita el peinado | Protege del calor y de agresiones externas</t>
        </is>
      </c>
      <c r="Z109" s="17" t="n"/>
      <c r="AA109" s="17" t="inlineStr">
        <is>
          <t>Finalizador</t>
        </is>
      </c>
      <c r="AB109" s="17" t="n"/>
      <c r="AC109" s="17" t="inlineStr">
        <is>
          <t>Aplicar sobre el cabello limpio y humedo, distribuir en todo el largo y finalizar como se prefiera.</t>
        </is>
      </c>
      <c r="AD109" s="17" t="n"/>
      <c r="AE109" s="17" t="n"/>
      <c r="AF109" s="17" t="n"/>
      <c r="AG109" s="17" t="n"/>
      <c r="AH109" s="20" t="inlineStr">
        <is>
          <t>fluido-alinhador-pos-progressiva-120ml-1vk6k.webp</t>
        </is>
      </c>
      <c r="AI109" s="17" t="n"/>
      <c r="AJ109" s="17" t="inlineStr">
        <is>
          <t>Cabello con alisado progresivo reciente</t>
        </is>
      </c>
      <c r="AK109" s="17" t="inlineStr">
        <is>
          <t>https://haskellcosmeticos.com.br/tratamentos-capilares/linha-pos-progressiva-haskell/</t>
        </is>
      </c>
      <c r="AL109" s="17" t="inlineStr">
        <is>
          <t>2026-07-24</t>
        </is>
      </c>
      <c r="AM109" s="21">
        <f>IF(ISBLANK(Q109),"",Q109*Parametros_PEN!$B$2)</f>
        <v/>
      </c>
      <c r="AN109" s="21">
        <f>IF(ISBLANK(Q109),"",Q109*Parametros_PEN!$B$2*(1+Parametros_PEN!$B$3))</f>
        <v/>
      </c>
      <c r="AO109" s="21">
        <f>IF(ISBLANK(R109),"",R109*Parametros_PEN!$B$2)</f>
        <v/>
      </c>
      <c r="AP109" s="21">
        <f>IF(ISBLANK(R109),"",R109*Parametros_PEN!$B$2*(1+Parametros_PEN!$B$3))</f>
        <v/>
      </c>
    </row>
    <row r="110" ht="46.25" customHeight="1" s="15">
      <c r="A110" s="17" t="inlineStr">
        <is>
          <t>HSK-0109</t>
        </is>
      </c>
      <c r="B110" s="17" t="inlineStr">
        <is>
          <t>mascarilla-de-tratamiento-queratina-provit-b5-300-g</t>
        </is>
      </c>
      <c r="C110" s="17" t="n"/>
      <c r="D110" s="17" t="inlineStr">
        <is>
          <t>Haskell</t>
        </is>
      </c>
      <c r="E110" s="17" t="inlineStr">
        <is>
          <t>Mascara de Tratamento Queratina &amp; Provit B5 300g</t>
        </is>
      </c>
      <c r="F110" s="17" t="inlineStr">
        <is>
          <t>Mascarilla de tratamiento Queratina &amp; Provit B5 300 g</t>
        </is>
      </c>
      <c r="G110" s="17" t="inlineStr">
        <is>
          <t>Queratina &amp; Provit B5</t>
        </is>
      </c>
      <c r="H110" s="17" t="inlineStr">
        <is>
          <t>Tratamentos Capilares</t>
        </is>
      </c>
      <c r="I110" s="17" t="inlineStr">
        <is>
          <t>Tratamientos capilares</t>
        </is>
      </c>
      <c r="J110" s="17" t="inlineStr">
        <is>
          <t>Reconstrucao proteica</t>
        </is>
      </c>
      <c r="K110" s="17" t="inlineStr">
        <is>
          <t>Reconstruccion proteica</t>
        </is>
      </c>
      <c r="L110" s="17" t="inlineStr">
        <is>
          <t>Mascara de Tratamento</t>
        </is>
      </c>
      <c r="M110" s="17" t="inlineStr">
        <is>
          <t>Mascarilla de tratamiento</t>
        </is>
      </c>
      <c r="N110" s="17" t="inlineStr">
        <is>
          <t>300 g</t>
        </is>
      </c>
      <c r="O110" s="17" t="n">
        <v>300</v>
      </c>
      <c r="P110" s="17" t="inlineStr">
        <is>
          <t>g</t>
        </is>
      </c>
      <c r="Q110" s="18" t="n">
        <v>68.90000000000001</v>
      </c>
      <c r="R110" s="18" t="n"/>
      <c r="S110" s="19">
        <f>IF(ISBLANK(R110),0,IFERROR((Q110-R110)/Q110,0))</f>
        <v/>
      </c>
      <c r="T110" s="17">
        <f>R110&lt;&gt;""</f>
        <v/>
      </c>
      <c r="U110" s="17">
        <f>TRUE()</f>
        <v/>
      </c>
      <c r="V110" s="17" t="n"/>
      <c r="W110" s="17" t="inlineStr">
        <is>
          <t>Mascarilla de tratamiento concentrada de la linea Queratina &amp; Provit B5, de uso posterior al champu: repone masa proteica y reconstruye la fibra capilar danada.</t>
        </is>
      </c>
      <c r="X110" s="17" t="n"/>
      <c r="Y110" s="17" t="inlineStr">
        <is>
          <t>Tratamiento concentrado | Actua en profundidad sobre la fibra capilar | Refuerza el resultado de la linea</t>
        </is>
      </c>
      <c r="Z110" s="17" t="n"/>
      <c r="AA110" s="17" t="inlineStr">
        <is>
          <t>Tratamiento intensivo</t>
        </is>
      </c>
      <c r="AB110" s="17" t="n"/>
      <c r="AC110" s="17" t="inlineStr">
        <is>
          <t>Aplicar mechon por mechon despues del champu, dejar actuar de 3 a 5 minutos y enjuagar bien.</t>
        </is>
      </c>
      <c r="AD110" s="17" t="inlineStr">
        <is>
          <t>Queratina vegetal | Pro-vitamina B5 (D-pantenol)</t>
        </is>
      </c>
      <c r="AE110" s="17" t="inlineStr">
        <is>
          <t>Queratina vegetal | Pro-vitamina B5 (D-pantenol)</t>
        </is>
      </c>
      <c r="AF110" s="17" t="n"/>
      <c r="AG110" s="17" t="n"/>
      <c r="AH110" s="20" t="inlineStr">
        <is>
          <t>mascara-de-tratamento-queratina-provit-b5-300g.webp</t>
        </is>
      </c>
      <c r="AI110" s="17" t="n"/>
      <c r="AJ110" s="17" t="inlineStr">
        <is>
          <t>Cabello danado por procesos quimicos, termicos o mecanicos</t>
        </is>
      </c>
      <c r="AK110" s="17" t="inlineStr">
        <is>
          <t>https://haskellcosmeticos.com.br/tratamentos-capilares/linha-queratina-haskell/</t>
        </is>
      </c>
      <c r="AL110" s="17" t="inlineStr">
        <is>
          <t>2026-07-24</t>
        </is>
      </c>
      <c r="AM110" s="21">
        <f>IF(ISBLANK(Q110),"",Q110*Parametros_PEN!$B$2)</f>
        <v/>
      </c>
      <c r="AN110" s="21">
        <f>IF(ISBLANK(Q110),"",Q110*Parametros_PEN!$B$2*(1+Parametros_PEN!$B$3))</f>
        <v/>
      </c>
      <c r="AO110" s="21">
        <f>IF(ISBLANK(R110),"",R110*Parametros_PEN!$B$2)</f>
        <v/>
      </c>
      <c r="AP110" s="21">
        <f>IF(ISBLANK(R110),"",R110*Parametros_PEN!$B$2*(1+Parametros_PEN!$B$3))</f>
        <v/>
      </c>
    </row>
    <row r="111" ht="35.05" customHeight="1" s="15">
      <c r="A111" s="17" t="inlineStr">
        <is>
          <t>HSK-0110</t>
        </is>
      </c>
      <c r="B111" s="17" t="inlineStr">
        <is>
          <t>champu-quina-rosa-300-ml</t>
        </is>
      </c>
      <c r="C111" s="17" t="n"/>
      <c r="D111" s="17" t="inlineStr">
        <is>
          <t>Haskell</t>
        </is>
      </c>
      <c r="E111" s="17" t="inlineStr">
        <is>
          <t>Shampoo Quina Rosa 300ml</t>
        </is>
      </c>
      <c r="F111" s="17" t="inlineStr">
        <is>
          <t>Champu Quina Rosa 300 ml</t>
        </is>
      </c>
      <c r="G111" s="17" t="inlineStr">
        <is>
          <t>Quina Rosa</t>
        </is>
      </c>
      <c r="H111" s="17" t="inlineStr">
        <is>
          <t>Tratamentos Capilares</t>
        </is>
      </c>
      <c r="I111" s="17" t="inlineStr">
        <is>
          <t>Tratamientos capilares</t>
        </is>
      </c>
      <c r="J111" s="17" t="inlineStr">
        <is>
          <t>Brilho e controle de frizz</t>
        </is>
      </c>
      <c r="K111" s="17" t="inlineStr">
        <is>
          <t>Brillo y control de frizz</t>
        </is>
      </c>
      <c r="L111" s="17" t="inlineStr">
        <is>
          <t>Shampoo</t>
        </is>
      </c>
      <c r="M111" s="17" t="inlineStr">
        <is>
          <t>Champu</t>
        </is>
      </c>
      <c r="N111" s="17" t="inlineStr">
        <is>
          <t>300 ml</t>
        </is>
      </c>
      <c r="O111" s="17" t="n">
        <v>300</v>
      </c>
      <c r="P111" s="17" t="inlineStr">
        <is>
          <t>ml</t>
        </is>
      </c>
      <c r="Q111" s="18" t="n">
        <v>58.9</v>
      </c>
      <c r="R111" s="18" t="n"/>
      <c r="S111" s="19">
        <f>IF(ISBLANK(R111),0,IFERROR((Q111-R111)/Q111,0))</f>
        <v/>
      </c>
      <c r="T111" s="17">
        <f>R111&lt;&gt;""</f>
        <v/>
      </c>
      <c r="U111" s="17">
        <f>TRUE()</f>
        <v/>
      </c>
      <c r="V111" s="17" t="n"/>
      <c r="W111" s="17" t="inlineStr">
        <is>
          <t>Champu de limpieza suave de la linea Quina Rosa, que prepara el cabello para el tratamiento: revitaliza el cabello opaco, reduce el frizz y aporta brillo.</t>
        </is>
      </c>
      <c r="X111" s="17" t="n"/>
      <c r="Y111" s="17" t="inlineStr">
        <is>
          <t>Limpieza suave sin resecar | Prepara el cabello para el resto de la rutina | Respeta el equilibrio del cuero cabelludo</t>
        </is>
      </c>
      <c r="Z111" s="17" t="n"/>
      <c r="AA111" s="17" t="inlineStr">
        <is>
          <t>Limpiador suave</t>
        </is>
      </c>
      <c r="AB111" s="17" t="n"/>
      <c r="AC111" s="17" t="inlineStr">
        <is>
          <t>Aplicar sobre el cabello mojado, masajear el cuero cabelludo con movimientos suaves y enjuagar bien.</t>
        </is>
      </c>
      <c r="AD111" s="17" t="inlineStr">
        <is>
          <t>Extrato de quina rosa</t>
        </is>
      </c>
      <c r="AE111" s="17" t="inlineStr">
        <is>
          <t>Extracto de quina rosa</t>
        </is>
      </c>
      <c r="AF111" s="17" t="n"/>
      <c r="AG111" s="17" t="n"/>
      <c r="AH111" s="20" t="inlineStr">
        <is>
          <t>shampoo-quina-rosa-haskell-300ml.webp</t>
        </is>
      </c>
      <c r="AI111" s="17" t="n"/>
      <c r="AJ111" s="17" t="inlineStr">
        <is>
          <t>Cabello opaco, con frizz o sin vida</t>
        </is>
      </c>
      <c r="AK111" s="17" t="inlineStr">
        <is>
          <t>https://haskellcosmeticos.com.br/tratamentos-capilares/linha-quina-rosa-haskell/</t>
        </is>
      </c>
      <c r="AL111" s="17" t="inlineStr">
        <is>
          <t>2026-07-24</t>
        </is>
      </c>
      <c r="AM111" s="21">
        <f>IF(ISBLANK(Q111),"",Q111*Parametros_PEN!$B$2)</f>
        <v/>
      </c>
      <c r="AN111" s="21">
        <f>IF(ISBLANK(Q111),"",Q111*Parametros_PEN!$B$2*(1+Parametros_PEN!$B$3))</f>
        <v/>
      </c>
      <c r="AO111" s="21">
        <f>IF(ISBLANK(R111),"",R111*Parametros_PEN!$B$2)</f>
        <v/>
      </c>
      <c r="AP111" s="21">
        <f>IF(ISBLANK(R111),"",R111*Parametros_PEN!$B$2*(1+Parametros_PEN!$B$3))</f>
        <v/>
      </c>
    </row>
    <row r="112" ht="35.05" customHeight="1" s="15">
      <c r="A112" s="17" t="inlineStr">
        <is>
          <t>HSK-0111</t>
        </is>
      </c>
      <c r="B112" s="17" t="inlineStr">
        <is>
          <t>champu-quina-rosa-500-ml</t>
        </is>
      </c>
      <c r="C112" s="17" t="n"/>
      <c r="D112" s="17" t="inlineStr">
        <is>
          <t>Haskell</t>
        </is>
      </c>
      <c r="E112" s="17" t="inlineStr">
        <is>
          <t>Shampoo Quina Rosa 500ml</t>
        </is>
      </c>
      <c r="F112" s="17" t="inlineStr">
        <is>
          <t>Champu Quina Rosa 500 ml</t>
        </is>
      </c>
      <c r="G112" s="17" t="inlineStr">
        <is>
          <t>Quina Rosa</t>
        </is>
      </c>
      <c r="H112" s="17" t="inlineStr">
        <is>
          <t>Tratamentos Capilares</t>
        </is>
      </c>
      <c r="I112" s="17" t="inlineStr">
        <is>
          <t>Tratamientos capilares</t>
        </is>
      </c>
      <c r="J112" s="17" t="inlineStr">
        <is>
          <t>Brilho e controle de frizz</t>
        </is>
      </c>
      <c r="K112" s="17" t="inlineStr">
        <is>
          <t>Brillo y control de frizz</t>
        </is>
      </c>
      <c r="L112" s="17" t="inlineStr">
        <is>
          <t>Shampoo</t>
        </is>
      </c>
      <c r="M112" s="17" t="inlineStr">
        <is>
          <t>Champu</t>
        </is>
      </c>
      <c r="N112" s="17" t="inlineStr">
        <is>
          <t>500 ml</t>
        </is>
      </c>
      <c r="O112" s="17" t="n">
        <v>500</v>
      </c>
      <c r="P112" s="17" t="inlineStr">
        <is>
          <t>ml</t>
        </is>
      </c>
      <c r="Q112" s="18" t="n">
        <v>76.90000000000001</v>
      </c>
      <c r="R112" s="18" t="n"/>
      <c r="S112" s="19">
        <f>IF(ISBLANK(R112),0,IFERROR((Q112-R112)/Q112,0))</f>
        <v/>
      </c>
      <c r="T112" s="17">
        <f>R112&lt;&gt;""</f>
        <v/>
      </c>
      <c r="U112" s="17">
        <f>TRUE()</f>
        <v/>
      </c>
      <c r="V112" s="17" t="n"/>
      <c r="W112" s="17" t="inlineStr">
        <is>
          <t>Champu de limpieza suave de la linea Quina Rosa, que prepara el cabello para el tratamiento: revitaliza el cabello opaco, reduce el frizz y aporta brillo.</t>
        </is>
      </c>
      <c r="X112" s="17" t="n"/>
      <c r="Y112" s="17" t="inlineStr">
        <is>
          <t>Limpieza suave sin resecar | Prepara el cabello para el resto de la rutina | Respeta el equilibrio del cuero cabelludo</t>
        </is>
      </c>
      <c r="Z112" s="17" t="n"/>
      <c r="AA112" s="17" t="inlineStr">
        <is>
          <t>Limpiador suave</t>
        </is>
      </c>
      <c r="AB112" s="17" t="n"/>
      <c r="AC112" s="17" t="inlineStr">
        <is>
          <t>Aplicar sobre el cabello mojado, masajear el cuero cabelludo con movimientos suaves y enjuagar bien.</t>
        </is>
      </c>
      <c r="AD112" s="17" t="inlineStr">
        <is>
          <t>Extrato de quina rosa</t>
        </is>
      </c>
      <c r="AE112" s="17" t="inlineStr">
        <is>
          <t>Extracto de quina rosa</t>
        </is>
      </c>
      <c r="AF112" s="17" t="n"/>
      <c r="AG112" s="17" t="n"/>
      <c r="AH112" s="20" t="inlineStr">
        <is>
          <t>shampoo-quina-rosa-haskell-500ml.webp</t>
        </is>
      </c>
      <c r="AI112" s="17" t="n"/>
      <c r="AJ112" s="17" t="inlineStr">
        <is>
          <t>Cabello opaco, con frizz o sin vida</t>
        </is>
      </c>
      <c r="AK112" s="17" t="inlineStr">
        <is>
          <t>https://haskellcosmeticos.com.br/tratamentos-capilares/linha-quina-rosa-haskell/</t>
        </is>
      </c>
      <c r="AL112" s="17" t="inlineStr">
        <is>
          <t>2026-07-24</t>
        </is>
      </c>
      <c r="AM112" s="21">
        <f>IF(ISBLANK(Q112),"",Q112*Parametros_PEN!$B$2)</f>
        <v/>
      </c>
      <c r="AN112" s="21">
        <f>IF(ISBLANK(Q112),"",Q112*Parametros_PEN!$B$2*(1+Parametros_PEN!$B$3))</f>
        <v/>
      </c>
      <c r="AO112" s="21">
        <f>IF(ISBLANK(R112),"",R112*Parametros_PEN!$B$2)</f>
        <v/>
      </c>
      <c r="AP112" s="21">
        <f>IF(ISBLANK(R112),"",R112*Parametros_PEN!$B$2*(1+Parametros_PEN!$B$3))</f>
        <v/>
      </c>
    </row>
    <row r="113" ht="35.05" customHeight="1" s="15">
      <c r="A113" s="17" t="inlineStr">
        <is>
          <t>HSK-0112</t>
        </is>
      </c>
      <c r="B113" s="17" t="inlineStr">
        <is>
          <t>champu-quina-rosa-1-l</t>
        </is>
      </c>
      <c r="C113" s="17" t="n"/>
      <c r="D113" s="17" t="inlineStr">
        <is>
          <t>Haskell</t>
        </is>
      </c>
      <c r="E113" s="17" t="inlineStr">
        <is>
          <t>Shampoo Quina Rosa 1L</t>
        </is>
      </c>
      <c r="F113" s="17" t="inlineStr">
        <is>
          <t>Champu Quina Rosa 1 L</t>
        </is>
      </c>
      <c r="G113" s="17" t="inlineStr">
        <is>
          <t>Quina Rosa</t>
        </is>
      </c>
      <c r="H113" s="17" t="inlineStr">
        <is>
          <t>Tratamentos Capilares</t>
        </is>
      </c>
      <c r="I113" s="17" t="inlineStr">
        <is>
          <t>Tratamientos capilares</t>
        </is>
      </c>
      <c r="J113" s="17" t="inlineStr">
        <is>
          <t>Brilho e controle de frizz</t>
        </is>
      </c>
      <c r="K113" s="17" t="inlineStr">
        <is>
          <t>Brillo y control de frizz</t>
        </is>
      </c>
      <c r="L113" s="17" t="inlineStr">
        <is>
          <t>Shampoo</t>
        </is>
      </c>
      <c r="M113" s="17" t="inlineStr">
        <is>
          <t>Champu</t>
        </is>
      </c>
      <c r="N113" s="17" t="inlineStr">
        <is>
          <t>1000 ml</t>
        </is>
      </c>
      <c r="O113" s="17" t="n">
        <v>1000</v>
      </c>
      <c r="P113" s="17" t="inlineStr">
        <is>
          <t>ml</t>
        </is>
      </c>
      <c r="Q113" s="18" t="n">
        <v>118.9</v>
      </c>
      <c r="R113" s="18" t="n"/>
      <c r="S113" s="19">
        <f>IF(ISBLANK(R113),0,IFERROR((Q113-R113)/Q113,0))</f>
        <v/>
      </c>
      <c r="T113" s="17">
        <f>R113&lt;&gt;""</f>
        <v/>
      </c>
      <c r="U113" s="17">
        <f>TRUE()</f>
        <v/>
      </c>
      <c r="V113" s="17" t="n"/>
      <c r="W113" s="17" t="inlineStr">
        <is>
          <t>Champu de limpieza suave de la linea Quina Rosa, que prepara el cabello para el tratamiento: revitaliza el cabello opaco, reduce el frizz y aporta brillo.</t>
        </is>
      </c>
      <c r="X113" s="17" t="n"/>
      <c r="Y113" s="17" t="inlineStr">
        <is>
          <t>Limpieza suave sin resecar | Prepara el cabello para el resto de la rutina | Respeta el equilibrio del cuero cabelludo</t>
        </is>
      </c>
      <c r="Z113" s="17" t="n"/>
      <c r="AA113" s="17" t="inlineStr">
        <is>
          <t>Limpiador suave</t>
        </is>
      </c>
      <c r="AB113" s="17" t="n"/>
      <c r="AC113" s="17" t="inlineStr">
        <is>
          <t>Aplicar sobre el cabello mojado, masajear el cuero cabelludo con movimientos suaves y enjuagar bien.</t>
        </is>
      </c>
      <c r="AD113" s="17" t="inlineStr">
        <is>
          <t>Extrato de quina rosa</t>
        </is>
      </c>
      <c r="AE113" s="17" t="inlineStr">
        <is>
          <t>Extracto de quina rosa</t>
        </is>
      </c>
      <c r="AF113" s="17" t="n"/>
      <c r="AG113" s="17" t="n"/>
      <c r="AH113" s="20" t="inlineStr">
        <is>
          <t>shampoo-quina-rosa-haskell-1l.webp</t>
        </is>
      </c>
      <c r="AI113" s="17" t="n"/>
      <c r="AJ113" s="17" t="inlineStr">
        <is>
          <t>Cabello opaco, con frizz o sin vida</t>
        </is>
      </c>
      <c r="AK113" s="17" t="inlineStr">
        <is>
          <t>https://haskellcosmeticos.com.br/tratamentos-capilares/linha-quina-rosa-haskell/</t>
        </is>
      </c>
      <c r="AL113" s="17" t="inlineStr">
        <is>
          <t>2026-07-24</t>
        </is>
      </c>
      <c r="AM113" s="21">
        <f>IF(ISBLANK(Q113),"",Q113*Parametros_PEN!$B$2)</f>
        <v/>
      </c>
      <c r="AN113" s="21">
        <f>IF(ISBLANK(Q113),"",Q113*Parametros_PEN!$B$2*(1+Parametros_PEN!$B$3))</f>
        <v/>
      </c>
      <c r="AO113" s="21">
        <f>IF(ISBLANK(R113),"",R113*Parametros_PEN!$B$2)</f>
        <v/>
      </c>
      <c r="AP113" s="21">
        <f>IF(ISBLANK(R113),"",R113*Parametros_PEN!$B$2*(1+Parametros_PEN!$B$3))</f>
        <v/>
      </c>
    </row>
    <row r="114" ht="35.05" customHeight="1" s="15">
      <c r="A114" s="17" t="inlineStr">
        <is>
          <t>HSK-0113</t>
        </is>
      </c>
      <c r="B114" s="17" t="inlineStr">
        <is>
          <t>acondicionador-quina-rosa-300-ml</t>
        </is>
      </c>
      <c r="C114" s="17" t="n"/>
      <c r="D114" s="17" t="inlineStr">
        <is>
          <t>Haskell</t>
        </is>
      </c>
      <c r="E114" s="17" t="inlineStr">
        <is>
          <t>Condicionador Quina Rosa 300ml</t>
        </is>
      </c>
      <c r="F114" s="17" t="inlineStr">
        <is>
          <t>Acondicionador Quina Rosa 300 ml</t>
        </is>
      </c>
      <c r="G114" s="17" t="inlineStr">
        <is>
          <t>Quina Rosa</t>
        </is>
      </c>
      <c r="H114" s="17" t="inlineStr">
        <is>
          <t>Tratamentos Capilares</t>
        </is>
      </c>
      <c r="I114" s="17" t="inlineStr">
        <is>
          <t>Tratamientos capilares</t>
        </is>
      </c>
      <c r="J114" s="17" t="inlineStr">
        <is>
          <t>Brilho e controle de frizz</t>
        </is>
      </c>
      <c r="K114" s="17" t="inlineStr">
        <is>
          <t>Brillo y control de frizz</t>
        </is>
      </c>
      <c r="L114" s="17" t="inlineStr">
        <is>
          <t>Condicionador</t>
        </is>
      </c>
      <c r="M114" s="17" t="inlineStr">
        <is>
          <t>Acondicionador</t>
        </is>
      </c>
      <c r="N114" s="17" t="inlineStr">
        <is>
          <t>300 ml</t>
        </is>
      </c>
      <c r="O114" s="17" t="n">
        <v>300</v>
      </c>
      <c r="P114" s="17" t="inlineStr">
        <is>
          <t>ml</t>
        </is>
      </c>
      <c r="Q114" s="18" t="n">
        <v>58.9</v>
      </c>
      <c r="R114" s="18" t="n"/>
      <c r="S114" s="19">
        <f>IF(ISBLANK(R114),0,IFERROR((Q114-R114)/Q114,0))</f>
        <v/>
      </c>
      <c r="T114" s="17">
        <f>R114&lt;&gt;""</f>
        <v/>
      </c>
      <c r="U114" s="17">
        <f>TRUE()</f>
        <v/>
      </c>
      <c r="V114" s="17" t="n"/>
      <c r="W114" s="17" t="inlineStr">
        <is>
          <t>Acondicionador de la linea Quina Rosa que facilita el desenredado y sella la cuticula: revitaliza el cabello opaco, reduce el frizz y aporta brillo.</t>
        </is>
      </c>
      <c r="X114" s="17" t="n"/>
      <c r="Y114" s="17" t="inlineStr">
        <is>
          <t>Facilita el desenredado | Sella la cuticula | Aporta suavidad y brillo</t>
        </is>
      </c>
      <c r="Z114" s="17" t="n"/>
      <c r="AA114" s="17" t="inlineStr">
        <is>
          <t>Acondicionador</t>
        </is>
      </c>
      <c r="AB114" s="17" t="n"/>
      <c r="AC114" s="17" t="inlineStr">
        <is>
          <t>Aplicar en el largo y las puntas del cabello despues del champu, dejar actuar unos minutos y enjuagar.</t>
        </is>
      </c>
      <c r="AD114" s="17" t="inlineStr">
        <is>
          <t>Extrato de quina rosa</t>
        </is>
      </c>
      <c r="AE114" s="17" t="inlineStr">
        <is>
          <t>Extracto de quina rosa</t>
        </is>
      </c>
      <c r="AF114" s="17" t="n"/>
      <c r="AG114" s="17" t="n"/>
      <c r="AH114" s="20" t="inlineStr">
        <is>
          <t>condicionador-quina-rosa-haskell-300ml.webp</t>
        </is>
      </c>
      <c r="AI114" s="17" t="n"/>
      <c r="AJ114" s="17" t="inlineStr">
        <is>
          <t>Cabello opaco, con frizz o sin vida</t>
        </is>
      </c>
      <c r="AK114" s="17" t="inlineStr">
        <is>
          <t>https://haskellcosmeticos.com.br/tratamentos-capilares/linha-quina-rosa-haskell/</t>
        </is>
      </c>
      <c r="AL114" s="17" t="inlineStr">
        <is>
          <t>2026-07-24</t>
        </is>
      </c>
      <c r="AM114" s="21">
        <f>IF(ISBLANK(Q114),"",Q114*Parametros_PEN!$B$2)</f>
        <v/>
      </c>
      <c r="AN114" s="21">
        <f>IF(ISBLANK(Q114),"",Q114*Parametros_PEN!$B$2*(1+Parametros_PEN!$B$3))</f>
        <v/>
      </c>
      <c r="AO114" s="21">
        <f>IF(ISBLANK(R114),"",R114*Parametros_PEN!$B$2)</f>
        <v/>
      </c>
      <c r="AP114" s="21">
        <f>IF(ISBLANK(R114),"",R114*Parametros_PEN!$B$2*(1+Parametros_PEN!$B$3))</f>
        <v/>
      </c>
    </row>
    <row r="115" ht="35.05" customHeight="1" s="15">
      <c r="A115" s="17" t="inlineStr">
        <is>
          <t>HSK-0114</t>
        </is>
      </c>
      <c r="B115" s="17" t="inlineStr">
        <is>
          <t>acondicionador-quina-rosa-500-ml</t>
        </is>
      </c>
      <c r="C115" s="17" t="n"/>
      <c r="D115" s="17" t="inlineStr">
        <is>
          <t>Haskell</t>
        </is>
      </c>
      <c r="E115" s="17" t="inlineStr">
        <is>
          <t>Condicionador Quina Rosa 500ml</t>
        </is>
      </c>
      <c r="F115" s="17" t="inlineStr">
        <is>
          <t>Acondicionador Quina Rosa 500 ml</t>
        </is>
      </c>
      <c r="G115" s="17" t="inlineStr">
        <is>
          <t>Quina Rosa</t>
        </is>
      </c>
      <c r="H115" s="17" t="inlineStr">
        <is>
          <t>Tratamentos Capilares</t>
        </is>
      </c>
      <c r="I115" s="17" t="inlineStr">
        <is>
          <t>Tratamientos capilares</t>
        </is>
      </c>
      <c r="J115" s="17" t="inlineStr">
        <is>
          <t>Brilho e controle de frizz</t>
        </is>
      </c>
      <c r="K115" s="17" t="inlineStr">
        <is>
          <t>Brillo y control de frizz</t>
        </is>
      </c>
      <c r="L115" s="17" t="inlineStr">
        <is>
          <t>Condicionador</t>
        </is>
      </c>
      <c r="M115" s="17" t="inlineStr">
        <is>
          <t>Acondicionador</t>
        </is>
      </c>
      <c r="N115" s="17" t="inlineStr">
        <is>
          <t>500 ml</t>
        </is>
      </c>
      <c r="O115" s="17" t="n">
        <v>500</v>
      </c>
      <c r="P115" s="17" t="inlineStr">
        <is>
          <t>ml</t>
        </is>
      </c>
      <c r="Q115" s="18" t="n">
        <v>76.90000000000001</v>
      </c>
      <c r="R115" s="18" t="n"/>
      <c r="S115" s="19">
        <f>IF(ISBLANK(R115),0,IFERROR((Q115-R115)/Q115,0))</f>
        <v/>
      </c>
      <c r="T115" s="17">
        <f>R115&lt;&gt;""</f>
        <v/>
      </c>
      <c r="U115" s="17">
        <f>TRUE()</f>
        <v/>
      </c>
      <c r="V115" s="17" t="n"/>
      <c r="W115" s="17" t="inlineStr">
        <is>
          <t>Acondicionador de la linea Quina Rosa que facilita el desenredado y sella la cuticula: revitaliza el cabello opaco, reduce el frizz y aporta brillo.</t>
        </is>
      </c>
      <c r="X115" s="17" t="n"/>
      <c r="Y115" s="17" t="inlineStr">
        <is>
          <t>Facilita el desenredado | Sella la cuticula | Aporta suavidad y brillo</t>
        </is>
      </c>
      <c r="Z115" s="17" t="n"/>
      <c r="AA115" s="17" t="inlineStr">
        <is>
          <t>Acondicionador</t>
        </is>
      </c>
      <c r="AB115" s="17" t="n"/>
      <c r="AC115" s="17" t="inlineStr">
        <is>
          <t>Aplicar en el largo y las puntas del cabello despues del champu, dejar actuar unos minutos y enjuagar.</t>
        </is>
      </c>
      <c r="AD115" s="17" t="inlineStr">
        <is>
          <t>Extrato de quina rosa</t>
        </is>
      </c>
      <c r="AE115" s="17" t="inlineStr">
        <is>
          <t>Extracto de quina rosa</t>
        </is>
      </c>
      <c r="AF115" s="17" t="n"/>
      <c r="AG115" s="17" t="n"/>
      <c r="AH115" s="20" t="inlineStr">
        <is>
          <t>condicionador-quina-rosa-500ml.webp</t>
        </is>
      </c>
      <c r="AI115" s="17" t="n"/>
      <c r="AJ115" s="17" t="inlineStr">
        <is>
          <t>Cabello opaco, con frizz o sin vida</t>
        </is>
      </c>
      <c r="AK115" s="17" t="inlineStr">
        <is>
          <t>https://haskellcosmeticos.com.br/tratamentos-capilares/linha-quina-rosa-haskell/</t>
        </is>
      </c>
      <c r="AL115" s="17" t="inlineStr">
        <is>
          <t>2026-07-24</t>
        </is>
      </c>
      <c r="AM115" s="21">
        <f>IF(ISBLANK(Q115),"",Q115*Parametros_PEN!$B$2)</f>
        <v/>
      </c>
      <c r="AN115" s="21">
        <f>IF(ISBLANK(Q115),"",Q115*Parametros_PEN!$B$2*(1+Parametros_PEN!$B$3))</f>
        <v/>
      </c>
      <c r="AO115" s="21">
        <f>IF(ISBLANK(R115),"",R115*Parametros_PEN!$B$2)</f>
        <v/>
      </c>
      <c r="AP115" s="21">
        <f>IF(ISBLANK(R115),"",R115*Parametros_PEN!$B$2*(1+Parametros_PEN!$B$3))</f>
        <v/>
      </c>
    </row>
    <row r="116" ht="35.05" customHeight="1" s="15">
      <c r="A116" s="17" t="inlineStr">
        <is>
          <t>HSK-0115</t>
        </is>
      </c>
      <c r="B116" s="17" t="inlineStr">
        <is>
          <t>mascarilla-de-tratamiento-quina-rosa-300-g</t>
        </is>
      </c>
      <c r="C116" s="17" t="n"/>
      <c r="D116" s="17" t="inlineStr">
        <is>
          <t>Haskell</t>
        </is>
      </c>
      <c r="E116" s="17" t="inlineStr">
        <is>
          <t>Mascara de Tratamento Quina Rosa 300g</t>
        </is>
      </c>
      <c r="F116" s="17" t="inlineStr">
        <is>
          <t>Mascarilla de tratamiento Quina Rosa 300 g</t>
        </is>
      </c>
      <c r="G116" s="17" t="inlineStr">
        <is>
          <t>Quina Rosa</t>
        </is>
      </c>
      <c r="H116" s="17" t="inlineStr">
        <is>
          <t>Tratamentos Capilares</t>
        </is>
      </c>
      <c r="I116" s="17" t="inlineStr">
        <is>
          <t>Tratamientos capilares</t>
        </is>
      </c>
      <c r="J116" s="17" t="inlineStr">
        <is>
          <t>Brilho e controle de frizz</t>
        </is>
      </c>
      <c r="K116" s="17" t="inlineStr">
        <is>
          <t>Brillo y control de frizz</t>
        </is>
      </c>
      <c r="L116" s="17" t="inlineStr">
        <is>
          <t>Mascara de Tratamento</t>
        </is>
      </c>
      <c r="M116" s="17" t="inlineStr">
        <is>
          <t>Mascarilla de tratamiento</t>
        </is>
      </c>
      <c r="N116" s="17" t="inlineStr">
        <is>
          <t>300 g</t>
        </is>
      </c>
      <c r="O116" s="17" t="n">
        <v>300</v>
      </c>
      <c r="P116" s="17" t="inlineStr">
        <is>
          <t>g</t>
        </is>
      </c>
      <c r="Q116" s="18" t="n">
        <v>68.90000000000001</v>
      </c>
      <c r="R116" s="18" t="n"/>
      <c r="S116" s="19">
        <f>IF(ISBLANK(R116),0,IFERROR((Q116-R116)/Q116,0))</f>
        <v/>
      </c>
      <c r="T116" s="17">
        <f>R116&lt;&gt;""</f>
        <v/>
      </c>
      <c r="U116" s="17">
        <f>TRUE()</f>
        <v/>
      </c>
      <c r="V116" s="17" t="n"/>
      <c r="W116" s="17" t="inlineStr">
        <is>
          <t>Mascarilla de tratamiento concentrada de la linea Quina Rosa, de uso posterior al champu: revitaliza el cabello opaco, reduce el frizz y aporta brillo.</t>
        </is>
      </c>
      <c r="X116" s="17" t="n"/>
      <c r="Y116" s="17" t="inlineStr">
        <is>
          <t>Tratamiento concentrado | Actua en profundidad sobre la fibra capilar | Refuerza el resultado de la linea</t>
        </is>
      </c>
      <c r="Z116" s="17" t="n"/>
      <c r="AA116" s="17" t="inlineStr">
        <is>
          <t>Tratamiento intensivo</t>
        </is>
      </c>
      <c r="AB116" s="17" t="n"/>
      <c r="AC116" s="17" t="inlineStr">
        <is>
          <t>Aplicar mechon por mechon despues del champu, dejar actuar de 3 a 5 minutos y enjuagar bien.</t>
        </is>
      </c>
      <c r="AD116" s="17" t="inlineStr">
        <is>
          <t>Extrato de quina rosa</t>
        </is>
      </c>
      <c r="AE116" s="17" t="inlineStr">
        <is>
          <t>Extracto de quina rosa</t>
        </is>
      </c>
      <c r="AF116" s="17" t="n"/>
      <c r="AG116" s="17" t="n"/>
      <c r="AH116" s="20" t="inlineStr">
        <is>
          <t>mascara-de-tratamento-quina-rosa-300g.webp</t>
        </is>
      </c>
      <c r="AI116" s="17" t="n"/>
      <c r="AJ116" s="17" t="inlineStr">
        <is>
          <t>Cabello opaco, con frizz o sin vida</t>
        </is>
      </c>
      <c r="AK116" s="17" t="inlineStr">
        <is>
          <t>https://haskellcosmeticos.com.br/tratamentos-capilares/linha-quina-rosa-haskell/</t>
        </is>
      </c>
      <c r="AL116" s="17" t="inlineStr">
        <is>
          <t>2026-07-24</t>
        </is>
      </c>
      <c r="AM116" s="21">
        <f>IF(ISBLANK(Q116),"",Q116*Parametros_PEN!$B$2)</f>
        <v/>
      </c>
      <c r="AN116" s="21">
        <f>IF(ISBLANK(Q116),"",Q116*Parametros_PEN!$B$2*(1+Parametros_PEN!$B$3))</f>
        <v/>
      </c>
      <c r="AO116" s="21">
        <f>IF(ISBLANK(R116),"",R116*Parametros_PEN!$B$2)</f>
        <v/>
      </c>
      <c r="AP116" s="21">
        <f>IF(ISBLANK(R116),"",R116*Parametros_PEN!$B$2*(1+Parametros_PEN!$B$3))</f>
        <v/>
      </c>
    </row>
    <row r="117" ht="35.05" customHeight="1" s="15">
      <c r="A117" s="17" t="inlineStr">
        <is>
          <t>HSK-0116</t>
        </is>
      </c>
      <c r="B117" s="17" t="inlineStr">
        <is>
          <t>mascarilla-de-tratamiento-quina-rosa-500-g</t>
        </is>
      </c>
      <c r="C117" s="17" t="n"/>
      <c r="D117" s="17" t="inlineStr">
        <is>
          <t>Haskell</t>
        </is>
      </c>
      <c r="E117" s="17" t="inlineStr">
        <is>
          <t>Mascara de Tratamento Quina Rosa 500g</t>
        </is>
      </c>
      <c r="F117" s="17" t="inlineStr">
        <is>
          <t>Mascarilla de tratamiento Quina Rosa 500 g</t>
        </is>
      </c>
      <c r="G117" s="17" t="inlineStr">
        <is>
          <t>Quina Rosa</t>
        </is>
      </c>
      <c r="H117" s="17" t="inlineStr">
        <is>
          <t>Tratamentos Capilares</t>
        </is>
      </c>
      <c r="I117" s="17" t="inlineStr">
        <is>
          <t>Tratamientos capilares</t>
        </is>
      </c>
      <c r="J117" s="17" t="inlineStr">
        <is>
          <t>Brilho e controle de frizz</t>
        </is>
      </c>
      <c r="K117" s="17" t="inlineStr">
        <is>
          <t>Brillo y control de frizz</t>
        </is>
      </c>
      <c r="L117" s="17" t="inlineStr">
        <is>
          <t>Mascara de Tratamento</t>
        </is>
      </c>
      <c r="M117" s="17" t="inlineStr">
        <is>
          <t>Mascarilla de tratamiento</t>
        </is>
      </c>
      <c r="N117" s="17" t="inlineStr">
        <is>
          <t>500 g</t>
        </is>
      </c>
      <c r="O117" s="17" t="n">
        <v>500</v>
      </c>
      <c r="P117" s="17" t="inlineStr">
        <is>
          <t>g</t>
        </is>
      </c>
      <c r="Q117" s="18" t="n">
        <v>81.90000000000001</v>
      </c>
      <c r="R117" s="18" t="n"/>
      <c r="S117" s="19">
        <f>IF(ISBLANK(R117),0,IFERROR((Q117-R117)/Q117,0))</f>
        <v/>
      </c>
      <c r="T117" s="17">
        <f>R117&lt;&gt;""</f>
        <v/>
      </c>
      <c r="U117" s="17">
        <f>TRUE()</f>
        <v/>
      </c>
      <c r="V117" s="17" t="n"/>
      <c r="W117" s="17" t="inlineStr">
        <is>
          <t>Mascarilla de tratamiento concentrada de la linea Quina Rosa, de uso posterior al champu: revitaliza el cabello opaco, reduce el frizz y aporta brillo.</t>
        </is>
      </c>
      <c r="X117" s="17" t="n"/>
      <c r="Y117" s="17" t="inlineStr">
        <is>
          <t>Tratamiento concentrado | Actua en profundidad sobre la fibra capilar | Refuerza el resultado de la linea</t>
        </is>
      </c>
      <c r="Z117" s="17" t="n"/>
      <c r="AA117" s="17" t="inlineStr">
        <is>
          <t>Tratamiento intensivo</t>
        </is>
      </c>
      <c r="AB117" s="17" t="n"/>
      <c r="AC117" s="17" t="inlineStr">
        <is>
          <t>Aplicar mechon por mechon despues del champu, dejar actuar de 3 a 5 minutos y enjuagar bien.</t>
        </is>
      </c>
      <c r="AD117" s="17" t="inlineStr">
        <is>
          <t>Extrato de quina rosa</t>
        </is>
      </c>
      <c r="AE117" s="17" t="inlineStr">
        <is>
          <t>Extracto de quina rosa</t>
        </is>
      </c>
      <c r="AF117" s="17" t="n"/>
      <c r="AG117" s="17" t="n"/>
      <c r="AH117" s="20" t="inlineStr">
        <is>
          <t>mascara-de-tratamento-quina-rosa-500g.webp</t>
        </is>
      </c>
      <c r="AI117" s="17" t="n"/>
      <c r="AJ117" s="17" t="inlineStr">
        <is>
          <t>Cabello opaco, con frizz o sin vida</t>
        </is>
      </c>
      <c r="AK117" s="17" t="inlineStr">
        <is>
          <t>https://haskellcosmeticos.com.br/tratamentos-capilares/linha-quina-rosa-haskell/</t>
        </is>
      </c>
      <c r="AL117" s="17" t="inlineStr">
        <is>
          <t>2026-07-24</t>
        </is>
      </c>
      <c r="AM117" s="21">
        <f>IF(ISBLANK(Q117),"",Q117*Parametros_PEN!$B$2)</f>
        <v/>
      </c>
      <c r="AN117" s="21">
        <f>IF(ISBLANK(Q117),"",Q117*Parametros_PEN!$B$2*(1+Parametros_PEN!$B$3))</f>
        <v/>
      </c>
      <c r="AO117" s="21">
        <f>IF(ISBLANK(R117),"",R117*Parametros_PEN!$B$2)</f>
        <v/>
      </c>
      <c r="AP117" s="21">
        <f>IF(ISBLANK(R117),"",R117*Parametros_PEN!$B$2*(1+Parametros_PEN!$B$3))</f>
        <v/>
      </c>
    </row>
    <row r="118" ht="35.05" customHeight="1" s="15">
      <c r="A118" s="17" t="inlineStr">
        <is>
          <t>HSK-0117</t>
        </is>
      </c>
      <c r="B118" s="17" t="inlineStr">
        <is>
          <t>mascarilla-de-tratamiento-quina-rosa-900-g</t>
        </is>
      </c>
      <c r="C118" s="17" t="n"/>
      <c r="D118" s="17" t="inlineStr">
        <is>
          <t>Haskell</t>
        </is>
      </c>
      <c r="E118" s="17" t="inlineStr">
        <is>
          <t>Mascara de Tratamento Quina Rosa 900g</t>
        </is>
      </c>
      <c r="F118" s="17" t="inlineStr">
        <is>
          <t>Mascarilla de tratamiento Quina Rosa 900 g</t>
        </is>
      </c>
      <c r="G118" s="17" t="inlineStr">
        <is>
          <t>Quina Rosa</t>
        </is>
      </c>
      <c r="H118" s="17" t="inlineStr">
        <is>
          <t>Tratamentos Capilares</t>
        </is>
      </c>
      <c r="I118" s="17" t="inlineStr">
        <is>
          <t>Tratamientos capilares</t>
        </is>
      </c>
      <c r="J118" s="17" t="inlineStr">
        <is>
          <t>Brilho e controle de frizz</t>
        </is>
      </c>
      <c r="K118" s="17" t="inlineStr">
        <is>
          <t>Brillo y control de frizz</t>
        </is>
      </c>
      <c r="L118" s="17" t="inlineStr">
        <is>
          <t>Mascara de Tratamento</t>
        </is>
      </c>
      <c r="M118" s="17" t="inlineStr">
        <is>
          <t>Mascarilla de tratamiento</t>
        </is>
      </c>
      <c r="N118" s="17" t="inlineStr">
        <is>
          <t>900 g</t>
        </is>
      </c>
      <c r="O118" s="17" t="n">
        <v>900</v>
      </c>
      <c r="P118" s="17" t="inlineStr">
        <is>
          <t>g</t>
        </is>
      </c>
      <c r="Q118" s="18" t="n">
        <v>123.9</v>
      </c>
      <c r="R118" s="18" t="n"/>
      <c r="S118" s="19">
        <f>IF(ISBLANK(R118),0,IFERROR((Q118-R118)/Q118,0))</f>
        <v/>
      </c>
      <c r="T118" s="17">
        <f>R118&lt;&gt;""</f>
        <v/>
      </c>
      <c r="U118" s="17">
        <f>TRUE()</f>
        <v/>
      </c>
      <c r="V118" s="17" t="n"/>
      <c r="W118" s="17" t="inlineStr">
        <is>
          <t>Mascarilla de tratamiento concentrada de la linea Quina Rosa, de uso posterior al champu: revitaliza el cabello opaco, reduce el frizz y aporta brillo.</t>
        </is>
      </c>
      <c r="X118" s="17" t="n"/>
      <c r="Y118" s="17" t="inlineStr">
        <is>
          <t>Tratamiento concentrado | Actua en profundidad sobre la fibra capilar | Refuerza el resultado de la linea</t>
        </is>
      </c>
      <c r="Z118" s="17" t="n"/>
      <c r="AA118" s="17" t="inlineStr">
        <is>
          <t>Tratamiento intensivo</t>
        </is>
      </c>
      <c r="AB118" s="17" t="n"/>
      <c r="AC118" s="17" t="inlineStr">
        <is>
          <t>Aplicar mechon por mechon despues del champu, dejar actuar de 3 a 5 minutos y enjuagar bien.</t>
        </is>
      </c>
      <c r="AD118" s="17" t="inlineStr">
        <is>
          <t>Extrato de quina rosa</t>
        </is>
      </c>
      <c r="AE118" s="17" t="inlineStr">
        <is>
          <t>Extracto de quina rosa</t>
        </is>
      </c>
      <c r="AF118" s="17" t="n"/>
      <c r="AG118" s="17" t="n"/>
      <c r="AH118" s="20" t="inlineStr">
        <is>
          <t>mascara-de-tratamento-quina-rosa-900g.webp</t>
        </is>
      </c>
      <c r="AI118" s="17" t="n"/>
      <c r="AJ118" s="17" t="inlineStr">
        <is>
          <t>Cabello opaco, con frizz o sin vida</t>
        </is>
      </c>
      <c r="AK118" s="17" t="inlineStr">
        <is>
          <t>https://haskellcosmeticos.com.br/tratamentos-capilares/linha-quina-rosa-haskell/</t>
        </is>
      </c>
      <c r="AL118" s="17" t="inlineStr">
        <is>
          <t>2026-07-24</t>
        </is>
      </c>
      <c r="AM118" s="21">
        <f>IF(ISBLANK(Q118),"",Q118*Parametros_PEN!$B$2)</f>
        <v/>
      </c>
      <c r="AN118" s="21">
        <f>IF(ISBLANK(Q118),"",Q118*Parametros_PEN!$B$2*(1+Parametros_PEN!$B$3))</f>
        <v/>
      </c>
      <c r="AO118" s="21">
        <f>IF(ISBLANK(R118),"",R118*Parametros_PEN!$B$2)</f>
        <v/>
      </c>
      <c r="AP118" s="21">
        <f>IF(ISBLANK(R118),"",R118*Parametros_PEN!$B$2*(1+Parametros_PEN!$B$3))</f>
        <v/>
      </c>
    </row>
    <row r="119" ht="79.84999999999999" customHeight="1" s="15">
      <c r="A119" s="17" t="inlineStr">
        <is>
          <t>HSK-0118</t>
        </is>
      </c>
      <c r="B119" s="17" t="inlineStr">
        <is>
          <t>espuma-forma-rizos-se-curve-180-ml</t>
        </is>
      </c>
      <c r="C119" s="17" t="n"/>
      <c r="D119" s="17" t="inlineStr">
        <is>
          <t>Haskell</t>
        </is>
      </c>
      <c r="E119" s="17" t="inlineStr">
        <is>
          <t>Mousse Forma Cachos Se Curve 180ml</t>
        </is>
      </c>
      <c r="F119" s="17" t="inlineStr">
        <is>
          <t>Espuma forma rizos Se Curve 180 ml</t>
        </is>
      </c>
      <c r="G119" s="17" t="inlineStr">
        <is>
          <t>Se Curve</t>
        </is>
      </c>
      <c r="H119" s="17" t="inlineStr">
        <is>
          <t>Tratamentos Capilares</t>
        </is>
      </c>
      <c r="I119" s="17" t="inlineStr">
        <is>
          <t>Tratamientos capilares</t>
        </is>
      </c>
      <c r="J119" s="17" t="inlineStr">
        <is>
          <t>Cuidado para cabelo cacheado, crespo e ondulado</t>
        </is>
      </c>
      <c r="K119" s="17" t="inlineStr">
        <is>
          <t>Cuidado para cabello rizado, ondulado y afro</t>
        </is>
      </c>
      <c r="L119" s="17" t="inlineStr">
        <is>
          <t>Mousse</t>
        </is>
      </c>
      <c r="M119" s="17" t="inlineStr">
        <is>
          <t>Espuma modeladora</t>
        </is>
      </c>
      <c r="N119" s="17" t="inlineStr">
        <is>
          <t>180 ml</t>
        </is>
      </c>
      <c r="O119" s="17" t="n">
        <v>180</v>
      </c>
      <c r="P119" s="17" t="inlineStr">
        <is>
          <t>ml</t>
        </is>
      </c>
      <c r="Q119" s="18" t="n">
        <v>59.9</v>
      </c>
      <c r="R119" s="18" t="n"/>
      <c r="S119" s="19">
        <f>IF(ISBLANK(R119),0,IFERROR((Q119-R119)/Q119,0))</f>
        <v/>
      </c>
      <c r="T119" s="17">
        <f>R119&lt;&gt;""</f>
        <v/>
      </c>
      <c r="U119" s="17">
        <f>TRUE()</f>
        <v/>
      </c>
      <c r="V119" s="17" t="n"/>
      <c r="W119" s="17" t="inlineStr">
        <is>
          <t>Espuma modeladora de la linea Se Curve: nutre y define las curvas naturales del cabello, desde ondas hasta rizos muy cerrados.</t>
        </is>
      </c>
      <c r="X119" s="17" t="n"/>
      <c r="Y119" s="17" t="inlineStr">
        <is>
          <t>Define la forma natural del cabello | Controla el volumen | No apelmaza</t>
        </is>
      </c>
      <c r="Z119" s="17" t="n"/>
      <c r="AA119" s="17" t="inlineStr">
        <is>
          <t>Modelador</t>
        </is>
      </c>
      <c r="AB119" s="17" t="n"/>
      <c r="AC119" s="17" t="inlineStr">
        <is>
          <t>Aplicar sobre el cabello humedo, distribuir con las manos y dejar secar al natural o con difusor.</t>
        </is>
      </c>
      <c r="AD119" s="17" t="inlineStr">
        <is>
          <t>Rosa mosqueta | Manteiga de karite | Manteiga de cupuacu | Manteiga de murumuru | Colageno vegetal | Cana-de-acucar | Goma de tapioca | Arginina | Babosa</t>
        </is>
      </c>
      <c r="AE119" s="17" t="inlineStr">
        <is>
          <t>Rosa mosqueta | Manteca de karite | Manteca de cupuazu | Manteca de murumuru | Colageno vegetal | Cana de azucar | Goma de tapioca | Arginina | Aloe vera</t>
        </is>
      </c>
      <c r="AF119" s="17" t="n"/>
      <c r="AG119" s="17" t="n"/>
      <c r="AH119" s="20" t="inlineStr">
        <is>
          <t>mousse-se-curve-180ml.webp</t>
        </is>
      </c>
      <c r="AI119" s="20" t="inlineStr">
        <is>
          <t>mousse-se-curve-180ml_02.webp</t>
        </is>
      </c>
      <c r="AJ119" s="17" t="inlineStr">
        <is>
          <t>Cabello ondulado, rizado o afro (curvaturas 2A a 4C)</t>
        </is>
      </c>
      <c r="AK119" s="17" t="inlineStr">
        <is>
          <t>https://haskellcosmeticos.com.br/tratamentos-capilares/se-curve/</t>
        </is>
      </c>
      <c r="AL119" s="17" t="inlineStr">
        <is>
          <t>2026-07-24</t>
        </is>
      </c>
      <c r="AM119" s="21">
        <f>IF(ISBLANK(Q119),"",Q119*Parametros_PEN!$B$2)</f>
        <v/>
      </c>
      <c r="AN119" s="21">
        <f>IF(ISBLANK(Q119),"",Q119*Parametros_PEN!$B$2*(1+Parametros_PEN!$B$3))</f>
        <v/>
      </c>
      <c r="AO119" s="21">
        <f>IF(ISBLANK(R119),"",R119*Parametros_PEN!$B$2)</f>
        <v/>
      </c>
      <c r="AP119" s="21">
        <f>IF(ISBLANK(R119),"",R119*Parametros_PEN!$B$2*(1+Parametros_PEN!$B$3))</f>
        <v/>
      </c>
    </row>
    <row r="120" ht="79.84999999999999" customHeight="1" s="15">
      <c r="A120" s="17" t="inlineStr">
        <is>
          <t>HSK-0119</t>
        </is>
      </c>
      <c r="B120" s="17" t="inlineStr">
        <is>
          <t>mascarilla-3-mantecas-se-curve-500-g</t>
        </is>
      </c>
      <c r="C120" s="17" t="n"/>
      <c r="D120" s="17" t="inlineStr">
        <is>
          <t>Haskell</t>
        </is>
      </c>
      <c r="E120" s="17" t="inlineStr">
        <is>
          <t>Mascara 3 Manteigas Se Curve 500g</t>
        </is>
      </c>
      <c r="F120" s="17" t="inlineStr">
        <is>
          <t>Mascarilla 3 mantecas Se Curve 500 g</t>
        </is>
      </c>
      <c r="G120" s="17" t="inlineStr">
        <is>
          <t>Se Curve</t>
        </is>
      </c>
      <c r="H120" s="17" t="inlineStr">
        <is>
          <t>Tratamentos Capilares</t>
        </is>
      </c>
      <c r="I120" s="17" t="inlineStr">
        <is>
          <t>Tratamientos capilares</t>
        </is>
      </c>
      <c r="J120" s="17" t="inlineStr">
        <is>
          <t>Cuidado para cabelo cacheado, crespo e ondulado</t>
        </is>
      </c>
      <c r="K120" s="17" t="inlineStr">
        <is>
          <t>Cuidado para cabello rizado, ondulado y afro</t>
        </is>
      </c>
      <c r="L120" s="17" t="inlineStr">
        <is>
          <t>Mascara de Tratamento</t>
        </is>
      </c>
      <c r="M120" s="17" t="inlineStr">
        <is>
          <t>Mascarilla de tratamiento</t>
        </is>
      </c>
      <c r="N120" s="17" t="inlineStr">
        <is>
          <t>500 g</t>
        </is>
      </c>
      <c r="O120" s="17" t="n">
        <v>500</v>
      </c>
      <c r="P120" s="17" t="inlineStr">
        <is>
          <t>g</t>
        </is>
      </c>
      <c r="Q120" s="18" t="n">
        <v>81.90000000000001</v>
      </c>
      <c r="R120" s="18" t="n"/>
      <c r="S120" s="19">
        <f>IF(ISBLANK(R120),0,IFERROR((Q120-R120)/Q120,0))</f>
        <v/>
      </c>
      <c r="T120" s="17">
        <f>R120&lt;&gt;""</f>
        <v/>
      </c>
      <c r="U120" s="17">
        <f>TRUE()</f>
        <v/>
      </c>
      <c r="V120" s="17" t="n"/>
      <c r="W120" s="17" t="inlineStr">
        <is>
          <t>Mascarilla de tratamiento concentrada de la linea Se Curve, de uso posterior al champu: nutre y define las curvas naturales del cabello, desde ondas hasta rizos muy cerrados.</t>
        </is>
      </c>
      <c r="X120" s="17" t="n"/>
      <c r="Y120" s="17" t="inlineStr">
        <is>
          <t>Tratamiento concentrado | Actua en profundidad sobre la fibra capilar | Refuerza el resultado de la linea</t>
        </is>
      </c>
      <c r="Z120" s="17" t="n"/>
      <c r="AA120" s="17" t="inlineStr">
        <is>
          <t>Tratamiento intensivo</t>
        </is>
      </c>
      <c r="AB120" s="17" t="n"/>
      <c r="AC120" s="17" t="inlineStr">
        <is>
          <t>Aplicar mechon por mechon despues del champu, dejar actuar de 3 a 5 minutos y enjuagar bien.</t>
        </is>
      </c>
      <c r="AD120" s="17" t="inlineStr">
        <is>
          <t>Rosa mosqueta | Manteiga de karite | Manteiga de cupuacu | Manteiga de murumuru | Colageno vegetal | Cana-de-acucar | Goma de tapioca | Arginina | Babosa</t>
        </is>
      </c>
      <c r="AE120" s="17" t="inlineStr">
        <is>
          <t>Rosa mosqueta | Manteca de karite | Manteca de cupuazu | Manteca de murumuru | Colageno vegetal | Cana de azucar | Goma de tapioca | Arginina | Aloe vera</t>
        </is>
      </c>
      <c r="AF120" s="17" t="n"/>
      <c r="AG120" s="17" t="n"/>
      <c r="AH120" s="20" t="inlineStr">
        <is>
          <t>mascara-3-manteigas-se-curve-500g.webp</t>
        </is>
      </c>
      <c r="AI120" s="17" t="n"/>
      <c r="AJ120" s="17" t="inlineStr">
        <is>
          <t>Cabello ondulado, rizado o afro (curvaturas 2A a 4C)</t>
        </is>
      </c>
      <c r="AK120" s="17" t="inlineStr">
        <is>
          <t>https://haskellcosmeticos.com.br/tratamentos-capilares/se-curve/</t>
        </is>
      </c>
      <c r="AL120" s="17" t="inlineStr">
        <is>
          <t>2026-07-24</t>
        </is>
      </c>
      <c r="AM120" s="21">
        <f>IF(ISBLANK(Q120),"",Q120*Parametros_PEN!$B$2)</f>
        <v/>
      </c>
      <c r="AN120" s="21">
        <f>IF(ISBLANK(Q120),"",Q120*Parametros_PEN!$B$2*(1+Parametros_PEN!$B$3))</f>
        <v/>
      </c>
      <c r="AO120" s="21">
        <f>IF(ISBLANK(R120),"",R120*Parametros_PEN!$B$2)</f>
        <v/>
      </c>
      <c r="AP120" s="21">
        <f>IF(ISBLANK(R120),"",R120*Parametros_PEN!$B$2*(1+Parametros_PEN!$B$3))</f>
        <v/>
      </c>
    </row>
    <row r="121" ht="79.84999999999999" customHeight="1" s="15">
      <c r="A121" s="17" t="inlineStr">
        <is>
          <t>HSK-0120</t>
        </is>
      </c>
      <c r="B121" s="17" t="inlineStr">
        <is>
          <t>champu-se-curve-500-ml</t>
        </is>
      </c>
      <c r="C121" s="17" t="n"/>
      <c r="D121" s="17" t="inlineStr">
        <is>
          <t>Haskell</t>
        </is>
      </c>
      <c r="E121" s="17" t="inlineStr">
        <is>
          <t>Shampoo Se Curve 500ml</t>
        </is>
      </c>
      <c r="F121" s="17" t="inlineStr">
        <is>
          <t>Champu Se Curve 500 ml</t>
        </is>
      </c>
      <c r="G121" s="17" t="inlineStr">
        <is>
          <t>Se Curve</t>
        </is>
      </c>
      <c r="H121" s="17" t="inlineStr">
        <is>
          <t>Tratamentos Capilares</t>
        </is>
      </c>
      <c r="I121" s="17" t="inlineStr">
        <is>
          <t>Tratamientos capilares</t>
        </is>
      </c>
      <c r="J121" s="17" t="inlineStr">
        <is>
          <t>Cuidado para cabelo cacheado, crespo e ondulado</t>
        </is>
      </c>
      <c r="K121" s="17" t="inlineStr">
        <is>
          <t>Cuidado para cabello rizado, ondulado y afro</t>
        </is>
      </c>
      <c r="L121" s="17" t="inlineStr">
        <is>
          <t>Shampoo</t>
        </is>
      </c>
      <c r="M121" s="17" t="inlineStr">
        <is>
          <t>Champu</t>
        </is>
      </c>
      <c r="N121" s="17" t="inlineStr">
        <is>
          <t>500 ml</t>
        </is>
      </c>
      <c r="O121" s="17" t="n">
        <v>500</v>
      </c>
      <c r="P121" s="17" t="inlineStr">
        <is>
          <t>ml</t>
        </is>
      </c>
      <c r="Q121" s="18" t="n">
        <v>76.90000000000001</v>
      </c>
      <c r="R121" s="18" t="n"/>
      <c r="S121" s="19">
        <f>IF(ISBLANK(R121),0,IFERROR((Q121-R121)/Q121,0))</f>
        <v/>
      </c>
      <c r="T121" s="17">
        <f>R121&lt;&gt;""</f>
        <v/>
      </c>
      <c r="U121" s="17">
        <f>TRUE()</f>
        <v/>
      </c>
      <c r="V121" s="17" t="n"/>
      <c r="W121" s="17" t="inlineStr">
        <is>
          <t>Champu de limpieza suave de la linea Se Curve, que prepara el cabello para el tratamiento: nutre y define las curvas naturales del cabello, desde ondas hasta rizos muy cerrados.</t>
        </is>
      </c>
      <c r="X121" s="17" t="n"/>
      <c r="Y121" s="17" t="inlineStr">
        <is>
          <t>Limpieza suave sin resecar | Prepara el cabello para el resto de la rutina | Respeta el equilibrio del cuero cabelludo</t>
        </is>
      </c>
      <c r="Z121" s="17" t="n"/>
      <c r="AA121" s="17" t="inlineStr">
        <is>
          <t>Limpiador suave</t>
        </is>
      </c>
      <c r="AB121" s="17" t="n"/>
      <c r="AC121" s="17" t="inlineStr">
        <is>
          <t>Aplicar sobre el cabello mojado, masajear el cuero cabelludo con movimientos suaves y enjuagar bien.</t>
        </is>
      </c>
      <c r="AD121" s="17" t="inlineStr">
        <is>
          <t>Rosa mosqueta | Manteiga de karite | Manteiga de cupuacu | Manteiga de murumuru | Colageno vegetal | Cana-de-acucar | Goma de tapioca | Arginina | Babosa</t>
        </is>
      </c>
      <c r="AE121" s="17" t="inlineStr">
        <is>
          <t>Rosa mosqueta | Manteca de karite | Manteca de cupuazu | Manteca de murumuru | Colageno vegetal | Cana de azucar | Goma de tapioca | Arginina | Aloe vera</t>
        </is>
      </c>
      <c r="AF121" s="17" t="n"/>
      <c r="AG121" s="17" t="n"/>
      <c r="AH121" s="20" t="inlineStr">
        <is>
          <t>shampoo-se-curve-500ml.webp</t>
        </is>
      </c>
      <c r="AI121" s="17" t="n"/>
      <c r="AJ121" s="17" t="inlineStr">
        <is>
          <t>Cabello ondulado, rizado o afro (curvaturas 2A a 4C)</t>
        </is>
      </c>
      <c r="AK121" s="17" t="inlineStr">
        <is>
          <t>https://haskellcosmeticos.com.br/tratamentos-capilares/se-curve/</t>
        </is>
      </c>
      <c r="AL121" s="17" t="inlineStr">
        <is>
          <t>2026-07-24</t>
        </is>
      </c>
      <c r="AM121" s="21">
        <f>IF(ISBLANK(Q121),"",Q121*Parametros_PEN!$B$2)</f>
        <v/>
      </c>
      <c r="AN121" s="21">
        <f>IF(ISBLANK(Q121),"",Q121*Parametros_PEN!$B$2*(1+Parametros_PEN!$B$3))</f>
        <v/>
      </c>
      <c r="AO121" s="21">
        <f>IF(ISBLANK(R121),"",R121*Parametros_PEN!$B$2)</f>
        <v/>
      </c>
      <c r="AP121" s="21">
        <f>IF(ISBLANK(R121),"",R121*Parametros_PEN!$B$2*(1+Parametros_PEN!$B$3))</f>
        <v/>
      </c>
    </row>
    <row r="122" ht="79.84999999999999" customHeight="1" s="15">
      <c r="A122" s="17" t="inlineStr">
        <is>
          <t>HSK-0121</t>
        </is>
      </c>
      <c r="B122" s="17" t="inlineStr">
        <is>
          <t>acondicionador-se-curve-500-ml</t>
        </is>
      </c>
      <c r="C122" s="17" t="n"/>
      <c r="D122" s="17" t="inlineStr">
        <is>
          <t>Haskell</t>
        </is>
      </c>
      <c r="E122" s="17" t="inlineStr">
        <is>
          <t>Condicionador Se Curve 500ml</t>
        </is>
      </c>
      <c r="F122" s="17" t="inlineStr">
        <is>
          <t>Acondicionador Se Curve 500 ml</t>
        </is>
      </c>
      <c r="G122" s="17" t="inlineStr">
        <is>
          <t>Se Curve</t>
        </is>
      </c>
      <c r="H122" s="17" t="inlineStr">
        <is>
          <t>Tratamentos Capilares</t>
        </is>
      </c>
      <c r="I122" s="17" t="inlineStr">
        <is>
          <t>Tratamientos capilares</t>
        </is>
      </c>
      <c r="J122" s="17" t="inlineStr">
        <is>
          <t>Cuidado para cabelo cacheado, crespo e ondulado</t>
        </is>
      </c>
      <c r="K122" s="17" t="inlineStr">
        <is>
          <t>Cuidado para cabello rizado, ondulado y afro</t>
        </is>
      </c>
      <c r="L122" s="17" t="inlineStr">
        <is>
          <t>Condicionador</t>
        </is>
      </c>
      <c r="M122" s="17" t="inlineStr">
        <is>
          <t>Acondicionador</t>
        </is>
      </c>
      <c r="N122" s="17" t="inlineStr">
        <is>
          <t>500 ml</t>
        </is>
      </c>
      <c r="O122" s="17" t="n">
        <v>500</v>
      </c>
      <c r="P122" s="17" t="inlineStr">
        <is>
          <t>ml</t>
        </is>
      </c>
      <c r="Q122" s="18" t="n">
        <v>76.90000000000001</v>
      </c>
      <c r="R122" s="18" t="n"/>
      <c r="S122" s="19">
        <f>IF(ISBLANK(R122),0,IFERROR((Q122-R122)/Q122,0))</f>
        <v/>
      </c>
      <c r="T122" s="17">
        <f>R122&lt;&gt;""</f>
        <v/>
      </c>
      <c r="U122" s="17">
        <f>TRUE()</f>
        <v/>
      </c>
      <c r="V122" s="17" t="n"/>
      <c r="W122" s="17" t="inlineStr">
        <is>
          <t>Acondicionador de la linea Se Curve que facilita el desenredado y sella la cuticula: nutre y define las curvas naturales del cabello, desde ondas hasta rizos muy cerrados.</t>
        </is>
      </c>
      <c r="X122" s="17" t="n"/>
      <c r="Y122" s="17" t="inlineStr">
        <is>
          <t>Facilita el desenredado | Sella la cuticula | Aporta suavidad y brillo</t>
        </is>
      </c>
      <c r="Z122" s="17" t="n"/>
      <c r="AA122" s="17" t="inlineStr">
        <is>
          <t>Acondicionador</t>
        </is>
      </c>
      <c r="AB122" s="17" t="n"/>
      <c r="AC122" s="17" t="inlineStr">
        <is>
          <t>Aplicar en el largo y las puntas del cabello despues del champu, dejar actuar unos minutos y enjuagar.</t>
        </is>
      </c>
      <c r="AD122" s="17" t="inlineStr">
        <is>
          <t>Rosa mosqueta | Manteiga de karite | Manteiga de cupuacu | Manteiga de murumuru | Colageno vegetal | Cana-de-acucar | Goma de tapioca | Arginina | Babosa</t>
        </is>
      </c>
      <c r="AE122" s="17" t="inlineStr">
        <is>
          <t>Rosa mosqueta | Manteca de karite | Manteca de cupuazu | Manteca de murumuru | Colageno vegetal | Cana de azucar | Goma de tapioca | Arginina | Aloe vera</t>
        </is>
      </c>
      <c r="AF122" s="17" t="n"/>
      <c r="AG122" s="17" t="n"/>
      <c r="AH122" s="20" t="inlineStr">
        <is>
          <t>condicionador-se-curve-500ml.webp</t>
        </is>
      </c>
      <c r="AI122" s="17" t="n"/>
      <c r="AJ122" s="17" t="inlineStr">
        <is>
          <t>Cabello ondulado, rizado o afro (curvaturas 2A a 4C)</t>
        </is>
      </c>
      <c r="AK122" s="17" t="inlineStr">
        <is>
          <t>https://haskellcosmeticos.com.br/tratamentos-capilares/se-curve/</t>
        </is>
      </c>
      <c r="AL122" s="17" t="inlineStr">
        <is>
          <t>2026-07-24</t>
        </is>
      </c>
      <c r="AM122" s="21">
        <f>IF(ISBLANK(Q122),"",Q122*Parametros_PEN!$B$2)</f>
        <v/>
      </c>
      <c r="AN122" s="21">
        <f>IF(ISBLANK(Q122),"",Q122*Parametros_PEN!$B$2*(1+Parametros_PEN!$B$3))</f>
        <v/>
      </c>
      <c r="AO122" s="21">
        <f>IF(ISBLANK(R122),"",R122*Parametros_PEN!$B$2)</f>
        <v/>
      </c>
      <c r="AP122" s="21">
        <f>IF(ISBLANK(R122),"",R122*Parametros_PEN!$B$2*(1+Parametros_PEN!$B$3))</f>
        <v/>
      </c>
    </row>
    <row r="123" ht="79.84999999999999" customHeight="1" s="15">
      <c r="A123" s="17" t="inlineStr">
        <is>
          <t>HSK-0122</t>
        </is>
      </c>
      <c r="B123" s="17" t="inlineStr">
        <is>
          <t>crema-de-peinar-se-curve-500-g</t>
        </is>
      </c>
      <c r="C123" s="17" t="n"/>
      <c r="D123" s="17" t="inlineStr">
        <is>
          <t>Haskell</t>
        </is>
      </c>
      <c r="E123" s="17" t="inlineStr">
        <is>
          <t>Creme de Pentear Se Curve 500g</t>
        </is>
      </c>
      <c r="F123" s="17" t="inlineStr">
        <is>
          <t>Crema de peinar Se Curve 500 g</t>
        </is>
      </c>
      <c r="G123" s="17" t="inlineStr">
        <is>
          <t>Se Curve</t>
        </is>
      </c>
      <c r="H123" s="17" t="inlineStr">
        <is>
          <t>Tratamentos Capilares</t>
        </is>
      </c>
      <c r="I123" s="17" t="inlineStr">
        <is>
          <t>Tratamientos capilares</t>
        </is>
      </c>
      <c r="J123" s="17" t="inlineStr">
        <is>
          <t>Cuidado para cabelo cacheado, crespo e ondulado</t>
        </is>
      </c>
      <c r="K123" s="17" t="inlineStr">
        <is>
          <t>Cuidado para cabello rizado, ondulado y afro</t>
        </is>
      </c>
      <c r="L123" s="17" t="inlineStr">
        <is>
          <t>Creme</t>
        </is>
      </c>
      <c r="M123" s="17" t="inlineStr">
        <is>
          <t>Crema</t>
        </is>
      </c>
      <c r="N123" s="17" t="inlineStr">
        <is>
          <t>500 g</t>
        </is>
      </c>
      <c r="O123" s="17" t="n">
        <v>500</v>
      </c>
      <c r="P123" s="17" t="inlineStr">
        <is>
          <t>g</t>
        </is>
      </c>
      <c r="Q123" s="18" t="n">
        <v>92.90000000000001</v>
      </c>
      <c r="R123" s="18" t="n"/>
      <c r="S123" s="19">
        <f>IF(ISBLANK(R123),0,IFERROR((Q123-R123)/Q123,0))</f>
        <v/>
      </c>
      <c r="T123" s="17">
        <f>R123&lt;&gt;""</f>
        <v/>
      </c>
      <c r="U123" s="17">
        <f>TRUE()</f>
        <v/>
      </c>
      <c r="V123" s="17" t="n"/>
      <c r="W123" s="17" t="inlineStr">
        <is>
          <t>Crema de la linea Se Curve: nutre y define las curvas naturales del cabello, desde ondas hasta rizos muy cerrados.</t>
        </is>
      </c>
      <c r="X123" s="17" t="n"/>
      <c r="Y123" s="17" t="inlineStr">
        <is>
          <t>Facilita el peinado | Hidrata y da forma segun el uso</t>
        </is>
      </c>
      <c r="Z123" s="17" t="n"/>
      <c r="AA123" s="17" t="inlineStr">
        <is>
          <t>Multifuncion</t>
        </is>
      </c>
      <c r="AB123" s="17" t="n"/>
      <c r="AC123" s="17" t="inlineStr">
        <is>
          <t>Aplicar sobre el cabello humedo o seco, segun la necesidad, y finalizar como se prefiera.</t>
        </is>
      </c>
      <c r="AD123" s="17" t="inlineStr">
        <is>
          <t>Rosa mosqueta | Manteiga de karite | Manteiga de cupuacu | Manteiga de murumuru | Colageno vegetal | Cana-de-acucar | Goma de tapioca | Arginina | Babosa</t>
        </is>
      </c>
      <c r="AE123" s="17" t="inlineStr">
        <is>
          <t>Rosa mosqueta | Manteca de karite | Manteca de cupuazu | Manteca de murumuru | Colageno vegetal | Cana de azucar | Goma de tapioca | Arginina | Aloe vera</t>
        </is>
      </c>
      <c r="AF123" s="17" t="n"/>
      <c r="AG123" s="17" t="n"/>
      <c r="AH123" s="20" t="inlineStr">
        <is>
          <t>creme-de-pentear-se-curve-500g.webp</t>
        </is>
      </c>
      <c r="AI123" s="17" t="n"/>
      <c r="AJ123" s="17" t="inlineStr">
        <is>
          <t>Cabello ondulado, rizado o afro (curvaturas 2A a 4C)</t>
        </is>
      </c>
      <c r="AK123" s="17" t="inlineStr">
        <is>
          <t>https://haskellcosmeticos.com.br/tratamentos-capilares/se-curve/</t>
        </is>
      </c>
      <c r="AL123" s="17" t="inlineStr">
        <is>
          <t>2026-07-24</t>
        </is>
      </c>
      <c r="AM123" s="21">
        <f>IF(ISBLANK(Q123),"",Q123*Parametros_PEN!$B$2)</f>
        <v/>
      </c>
      <c r="AN123" s="21">
        <f>IF(ISBLANK(Q123),"",Q123*Parametros_PEN!$B$2*(1+Parametros_PEN!$B$3))</f>
        <v/>
      </c>
      <c r="AO123" s="21">
        <f>IF(ISBLANK(R123),"",R123*Parametros_PEN!$B$2)</f>
        <v/>
      </c>
      <c r="AP123" s="21">
        <f>IF(ISBLANK(R123),"",R123*Parametros_PEN!$B$2*(1+Parametros_PEN!$B$3))</f>
        <v/>
      </c>
    </row>
    <row r="124" ht="79.84999999999999" customHeight="1" s="15">
      <c r="A124" s="17" t="inlineStr">
        <is>
          <t>HSK-0123</t>
        </is>
      </c>
      <c r="B124" s="17" t="inlineStr">
        <is>
          <t>tonico-transicion-capilar-se-curve-200-ml</t>
        </is>
      </c>
      <c r="C124" s="17" t="n"/>
      <c r="D124" s="17" t="inlineStr">
        <is>
          <t>Haskell</t>
        </is>
      </c>
      <c r="E124" s="17" t="inlineStr">
        <is>
          <t>Tonico Transicao Capilar Se Curve 200ml</t>
        </is>
      </c>
      <c r="F124" s="17" t="inlineStr">
        <is>
          <t>Tonico transicion capilar Se Curve 200 ml</t>
        </is>
      </c>
      <c r="G124" s="17" t="inlineStr">
        <is>
          <t>Se Curve</t>
        </is>
      </c>
      <c r="H124" s="17" t="inlineStr">
        <is>
          <t>Tratamentos Capilares</t>
        </is>
      </c>
      <c r="I124" s="17" t="inlineStr">
        <is>
          <t>Tratamientos capilares</t>
        </is>
      </c>
      <c r="J124" s="17" t="inlineStr">
        <is>
          <t>Cuidado para cabelo cacheado, crespo e ondulado</t>
        </is>
      </c>
      <c r="K124" s="17" t="inlineStr">
        <is>
          <t>Cuidado para cabello rizado, ondulado y afro</t>
        </is>
      </c>
      <c r="L124" s="17" t="inlineStr">
        <is>
          <t>Tonico</t>
        </is>
      </c>
      <c r="M124" s="17" t="inlineStr">
        <is>
          <t>Tonico capilar</t>
        </is>
      </c>
      <c r="N124" s="17" t="inlineStr">
        <is>
          <t>200 ml</t>
        </is>
      </c>
      <c r="O124" s="17" t="n">
        <v>200</v>
      </c>
      <c r="P124" s="17" t="inlineStr">
        <is>
          <t>ml</t>
        </is>
      </c>
      <c r="Q124" s="18" t="n">
        <v>56.9</v>
      </c>
      <c r="R124" s="18" t="n"/>
      <c r="S124" s="19">
        <f>IF(ISBLANK(R124),0,IFERROR((Q124-R124)/Q124,0))</f>
        <v/>
      </c>
      <c r="T124" s="17">
        <f>R124&lt;&gt;""</f>
        <v/>
      </c>
      <c r="U124" s="17">
        <f>TRUE()</f>
        <v/>
      </c>
      <c r="V124" s="17" t="n"/>
      <c r="W124" s="17" t="inlineStr">
        <is>
          <t>Tonico capilar de la linea Se Curve, de uso directo sobre el cuero cabelludo: nutre y define las curvas naturales del cabello, desde ondas hasta rizos muy cerrados.</t>
        </is>
      </c>
      <c r="X124" s="17" t="n"/>
      <c r="Y124" s="17" t="inlineStr">
        <is>
          <t>Estimula el cuero cabelludo | Refuerza la raiz del cabello</t>
        </is>
      </c>
      <c r="Z124" s="17" t="n"/>
      <c r="AA124" s="17" t="inlineStr">
        <is>
          <t>Tonico capilar</t>
        </is>
      </c>
      <c r="AB124" s="17" t="n"/>
      <c r="AC124" s="17" t="inlineStr">
        <is>
          <t>Aplicar directamente sobre el cuero cabelludo limpio y masajear suavemente. No es necesario enjuagar.</t>
        </is>
      </c>
      <c r="AD124" s="17" t="inlineStr">
        <is>
          <t>Rosa mosqueta | Manteiga de karite | Manteiga de cupuacu | Manteiga de murumuru | Colageno vegetal | Cana-de-acucar | Goma de tapioca | Arginina | Babosa</t>
        </is>
      </c>
      <c r="AE124" s="17" t="inlineStr">
        <is>
          <t>Rosa mosqueta | Manteca de karite | Manteca de cupuazu | Manteca de murumuru | Colageno vegetal | Cana de azucar | Goma de tapioca | Arginina | Aloe vera</t>
        </is>
      </c>
      <c r="AF124" s="17" t="n"/>
      <c r="AG124" s="17" t="n"/>
      <c r="AH124" s="20" t="inlineStr">
        <is>
          <t>tonico-transicao-capilar-se-curve-200ml.webp</t>
        </is>
      </c>
      <c r="AI124" s="17" t="n"/>
      <c r="AJ124" s="17" t="inlineStr">
        <is>
          <t>Cabello ondulado, rizado o afro (curvaturas 2A a 4C)</t>
        </is>
      </c>
      <c r="AK124" s="17" t="inlineStr">
        <is>
          <t>https://haskellcosmeticos.com.br/tratamentos-capilares/se-curve/</t>
        </is>
      </c>
      <c r="AL124" s="17" t="inlineStr">
        <is>
          <t>2026-07-24</t>
        </is>
      </c>
      <c r="AM124" s="21">
        <f>IF(ISBLANK(Q124),"",Q124*Parametros_PEN!$B$2)</f>
        <v/>
      </c>
      <c r="AN124" s="21">
        <f>IF(ISBLANK(Q124),"",Q124*Parametros_PEN!$B$2*(1+Parametros_PEN!$B$3))</f>
        <v/>
      </c>
      <c r="AO124" s="21">
        <f>IF(ISBLANK(R124),"",R124*Parametros_PEN!$B$2)</f>
        <v/>
      </c>
      <c r="AP124" s="21">
        <f>IF(ISBLANK(R124),"",R124*Parametros_PEN!$B$2*(1+Parametros_PEN!$B$3))</f>
        <v/>
      </c>
    </row>
    <row r="125" ht="79.84999999999999" customHeight="1" s="15">
      <c r="A125" s="17" t="inlineStr">
        <is>
          <t>HSK-0124</t>
        </is>
      </c>
      <c r="B125" s="17" t="inlineStr">
        <is>
          <t>curva-cola-se-curve-500-g</t>
        </is>
      </c>
      <c r="C125" s="17" t="n"/>
      <c r="D125" s="17" t="inlineStr">
        <is>
          <t>Haskell</t>
        </is>
      </c>
      <c r="E125" s="17" t="inlineStr">
        <is>
          <t>Curva &amp; Cola Se Curve 500g</t>
        </is>
      </c>
      <c r="F125" s="17" t="inlineStr">
        <is>
          <t>Curva &amp; Cola Se Curve 500 g</t>
        </is>
      </c>
      <c r="G125" s="17" t="inlineStr">
        <is>
          <t>Se Curve</t>
        </is>
      </c>
      <c r="H125" s="17" t="inlineStr">
        <is>
          <t>Tratamentos Capilares</t>
        </is>
      </c>
      <c r="I125" s="17" t="inlineStr">
        <is>
          <t>Tratamientos capilares</t>
        </is>
      </c>
      <c r="J125" s="17" t="inlineStr">
        <is>
          <t>Cuidado para cabelo cacheado, crespo e ondulado</t>
        </is>
      </c>
      <c r="K125" s="17" t="inlineStr">
        <is>
          <t>Cuidado para cabello rizado, ondulado y afro</t>
        </is>
      </c>
      <c r="L125" s="17" t="inlineStr">
        <is>
          <t>Goma</t>
        </is>
      </c>
      <c r="M125" s="17" t="inlineStr">
        <is>
          <t>Gel texturizador</t>
        </is>
      </c>
      <c r="N125" s="17" t="inlineStr">
        <is>
          <t>500 g</t>
        </is>
      </c>
      <c r="O125" s="17" t="n">
        <v>500</v>
      </c>
      <c r="P125" s="17" t="inlineStr">
        <is>
          <t>g</t>
        </is>
      </c>
      <c r="Q125" s="18" t="n">
        <v>92.90000000000001</v>
      </c>
      <c r="R125" s="18" t="n"/>
      <c r="S125" s="19">
        <f>IF(ISBLANK(R125),0,IFERROR((Q125-R125)/Q125,0))</f>
        <v/>
      </c>
      <c r="T125" s="17">
        <f>R125&lt;&gt;""</f>
        <v/>
      </c>
      <c r="U125" s="17">
        <f>TRUE()</f>
        <v/>
      </c>
      <c r="V125" s="17" t="n"/>
      <c r="W125" s="17" t="inlineStr">
        <is>
          <t>Gel texturizador de la linea Se Curve: nutre y define las curvas naturales del cabello, desde ondas hasta rizos muy cerrados.</t>
        </is>
      </c>
      <c r="X125" s="17" t="n"/>
      <c r="Y125" s="17" t="inlineStr">
        <is>
          <t>Define y fija sin apelmazar | Controla el frizz | Textura maleable</t>
        </is>
      </c>
      <c r="Z125" s="17" t="n"/>
      <c r="AA125" s="17" t="inlineStr">
        <is>
          <t>Texturizador</t>
        </is>
      </c>
      <c r="AB125" s="17" t="n"/>
      <c r="AC125" s="17" t="inlineStr">
        <is>
          <t>Aplicar sobre el cabello humedo, distribuir mechon por mechon para definir la forma deseada.</t>
        </is>
      </c>
      <c r="AD125" s="17" t="inlineStr">
        <is>
          <t>Rosa mosqueta | Manteiga de karite | Manteiga de cupuacu | Manteiga de murumuru | Colageno vegetal | Cana-de-acucar | Goma de tapioca | Arginina | Babosa</t>
        </is>
      </c>
      <c r="AE125" s="17" t="inlineStr">
        <is>
          <t>Rosa mosqueta | Manteca de karite | Manteca de cupuazu | Manteca de murumuru | Colageno vegetal | Cana de azucar | Goma de tapioca | Arginina | Aloe vera</t>
        </is>
      </c>
      <c r="AF125" s="17" t="n"/>
      <c r="AG125" s="17" t="n"/>
      <c r="AH125" s="20" t="inlineStr">
        <is>
          <t>curva-cola-se-curve-500g.webp</t>
        </is>
      </c>
      <c r="AI125" s="17" t="n"/>
      <c r="AJ125" s="17" t="inlineStr">
        <is>
          <t>Cabello ondulado, rizado o afro (curvaturas 2A a 4C)</t>
        </is>
      </c>
      <c r="AK125" s="17" t="inlineStr">
        <is>
          <t>https://haskellcosmeticos.com.br/tratamentos-capilares/se-curve/</t>
        </is>
      </c>
      <c r="AL125" s="17" t="inlineStr">
        <is>
          <t>2026-07-24</t>
        </is>
      </c>
      <c r="AM125" s="21">
        <f>IF(ISBLANK(Q125),"",Q125*Parametros_PEN!$B$2)</f>
        <v/>
      </c>
      <c r="AN125" s="21">
        <f>IF(ISBLANK(Q125),"",Q125*Parametros_PEN!$B$2*(1+Parametros_PEN!$B$3))</f>
        <v/>
      </c>
      <c r="AO125" s="21">
        <f>IF(ISBLANK(R125),"",R125*Parametros_PEN!$B$2)</f>
        <v/>
      </c>
      <c r="AP125" s="21">
        <f>IF(ISBLANK(R125),"",R125*Parametros_PEN!$B$2*(1+Parametros_PEN!$B$3))</f>
        <v/>
      </c>
    </row>
    <row r="126" ht="79.84999999999999" customHeight="1" s="15">
      <c r="A126" s="17" t="inlineStr">
        <is>
          <t>HSK-0125</t>
        </is>
      </c>
      <c r="B126" s="17" t="inlineStr">
        <is>
          <t>gel-texturizador-se-curve-500-g</t>
        </is>
      </c>
      <c r="C126" s="17" t="n"/>
      <c r="D126" s="17" t="inlineStr">
        <is>
          <t>Haskell</t>
        </is>
      </c>
      <c r="E126" s="17" t="inlineStr">
        <is>
          <t>Goma Texturizadora Se Curve 500g</t>
        </is>
      </c>
      <c r="F126" s="17" t="inlineStr">
        <is>
          <t>Gel texturizador Se Curve 500 g</t>
        </is>
      </c>
      <c r="G126" s="17" t="inlineStr">
        <is>
          <t>Se Curve</t>
        </is>
      </c>
      <c r="H126" s="17" t="inlineStr">
        <is>
          <t>Tratamentos Capilares</t>
        </is>
      </c>
      <c r="I126" s="17" t="inlineStr">
        <is>
          <t>Tratamientos capilares</t>
        </is>
      </c>
      <c r="J126" s="17" t="inlineStr">
        <is>
          <t>Cuidado para cabelo cacheado, crespo e ondulado</t>
        </is>
      </c>
      <c r="K126" s="17" t="inlineStr">
        <is>
          <t>Cuidado para cabello rizado, ondulado y afro</t>
        </is>
      </c>
      <c r="L126" s="17" t="inlineStr">
        <is>
          <t>Goma</t>
        </is>
      </c>
      <c r="M126" s="17" t="inlineStr">
        <is>
          <t>Gel texturizador</t>
        </is>
      </c>
      <c r="N126" s="17" t="inlineStr">
        <is>
          <t>500 g</t>
        </is>
      </c>
      <c r="O126" s="17" t="n">
        <v>500</v>
      </c>
      <c r="P126" s="17" t="inlineStr">
        <is>
          <t>g</t>
        </is>
      </c>
      <c r="Q126" s="18" t="n">
        <v>92.90000000000001</v>
      </c>
      <c r="R126" s="18" t="n"/>
      <c r="S126" s="19">
        <f>IF(ISBLANK(R126),0,IFERROR((Q126-R126)/Q126,0))</f>
        <v/>
      </c>
      <c r="T126" s="17">
        <f>R126&lt;&gt;""</f>
        <v/>
      </c>
      <c r="U126" s="17">
        <f>TRUE()</f>
        <v/>
      </c>
      <c r="V126" s="17" t="n"/>
      <c r="W126" s="17" t="inlineStr">
        <is>
          <t>Gel texturizador de la linea Se Curve: nutre y define las curvas naturales del cabello, desde ondas hasta rizos muy cerrados.</t>
        </is>
      </c>
      <c r="X126" s="17" t="n"/>
      <c r="Y126" s="17" t="inlineStr">
        <is>
          <t>Define y fija sin apelmazar | Controla el frizz | Textura maleable</t>
        </is>
      </c>
      <c r="Z126" s="17" t="n"/>
      <c r="AA126" s="17" t="inlineStr">
        <is>
          <t>Texturizador</t>
        </is>
      </c>
      <c r="AB126" s="17" t="n"/>
      <c r="AC126" s="17" t="inlineStr">
        <is>
          <t>Aplicar sobre el cabello humedo, distribuir mechon por mechon para definir la forma deseada.</t>
        </is>
      </c>
      <c r="AD126" s="17" t="inlineStr">
        <is>
          <t>Rosa mosqueta | Manteiga de karite | Manteiga de cupuacu | Manteiga de murumuru | Colageno vegetal | Cana-de-acucar | Goma de tapioca | Arginina | Babosa</t>
        </is>
      </c>
      <c r="AE126" s="17" t="inlineStr">
        <is>
          <t>Rosa mosqueta | Manteca de karite | Manteca de cupuazu | Manteca de murumuru | Colageno vegetal | Cana de azucar | Goma de tapioca | Arginina | Aloe vera</t>
        </is>
      </c>
      <c r="AF126" s="17" t="n"/>
      <c r="AG126" s="17" t="n"/>
      <c r="AH126" s="20" t="inlineStr">
        <is>
          <t>goma-texturizadora-se-curve-500g.webp</t>
        </is>
      </c>
      <c r="AI126" s="17" t="n"/>
      <c r="AJ126" s="17" t="inlineStr">
        <is>
          <t>Cabello ondulado, rizado o afro (curvaturas 2A a 4C)</t>
        </is>
      </c>
      <c r="AK126" s="17" t="inlineStr">
        <is>
          <t>https://haskellcosmeticos.com.br/tratamentos-capilares/se-curve/</t>
        </is>
      </c>
      <c r="AL126" s="17" t="inlineStr">
        <is>
          <t>2026-07-24</t>
        </is>
      </c>
      <c r="AM126" s="21">
        <f>IF(ISBLANK(Q126),"",Q126*Parametros_PEN!$B$2)</f>
        <v/>
      </c>
      <c r="AN126" s="21">
        <f>IF(ISBLANK(Q126),"",Q126*Parametros_PEN!$B$2*(1+Parametros_PEN!$B$3))</f>
        <v/>
      </c>
      <c r="AO126" s="21">
        <f>IF(ISBLANK(R126),"",R126*Parametros_PEN!$B$2)</f>
        <v/>
      </c>
      <c r="AP126" s="21">
        <f>IF(ISBLANK(R126),"",R126*Parametros_PEN!$B$2*(1+Parametros_PEN!$B$3))</f>
        <v/>
      </c>
    </row>
    <row r="127" ht="79.84999999999999" customHeight="1" s="15">
      <c r="A127" s="17" t="inlineStr">
        <is>
          <t>HSK-0126</t>
        </is>
      </c>
      <c r="B127" s="17" t="inlineStr">
        <is>
          <t>modelador-de-rizos-se-curve-500-g</t>
        </is>
      </c>
      <c r="C127" s="17" t="n"/>
      <c r="D127" s="17" t="inlineStr">
        <is>
          <t>Haskell</t>
        </is>
      </c>
      <c r="E127" s="17" t="inlineStr">
        <is>
          <t>Modelador de Cachos Se Curve 500g</t>
        </is>
      </c>
      <c r="F127" s="17" t="inlineStr">
        <is>
          <t>Modelador de rizos Se Curve 500 g</t>
        </is>
      </c>
      <c r="G127" s="17" t="inlineStr">
        <is>
          <t>Se Curve</t>
        </is>
      </c>
      <c r="H127" s="17" t="inlineStr">
        <is>
          <t>Tratamentos Capilares</t>
        </is>
      </c>
      <c r="I127" s="17" t="inlineStr">
        <is>
          <t>Tratamientos capilares</t>
        </is>
      </c>
      <c r="J127" s="17" t="inlineStr">
        <is>
          <t>Cuidado para cabelo cacheado, crespo e ondulado</t>
        </is>
      </c>
      <c r="K127" s="17" t="inlineStr">
        <is>
          <t>Cuidado para cabello rizado, ondulado y afro</t>
        </is>
      </c>
      <c r="L127" s="17" t="inlineStr">
        <is>
          <t>Creme</t>
        </is>
      </c>
      <c r="M127" s="17" t="inlineStr">
        <is>
          <t>Crema</t>
        </is>
      </c>
      <c r="N127" s="17" t="inlineStr">
        <is>
          <t>500 g</t>
        </is>
      </c>
      <c r="O127" s="17" t="n">
        <v>500</v>
      </c>
      <c r="P127" s="17" t="inlineStr">
        <is>
          <t>g</t>
        </is>
      </c>
      <c r="Q127" s="18" t="n">
        <v>92.90000000000001</v>
      </c>
      <c r="R127" s="18" t="n"/>
      <c r="S127" s="19">
        <f>IF(ISBLANK(R127),0,IFERROR((Q127-R127)/Q127,0))</f>
        <v/>
      </c>
      <c r="T127" s="17">
        <f>R127&lt;&gt;""</f>
        <v/>
      </c>
      <c r="U127" s="17">
        <f>TRUE()</f>
        <v/>
      </c>
      <c r="V127" s="17" t="n"/>
      <c r="W127" s="17" t="inlineStr">
        <is>
          <t>Crema de la linea Se Curve: nutre y define las curvas naturales del cabello, desde ondas hasta rizos muy cerrados.</t>
        </is>
      </c>
      <c r="X127" s="17" t="n"/>
      <c r="Y127" s="17" t="inlineStr">
        <is>
          <t>Facilita el peinado | Hidrata y da forma segun el uso</t>
        </is>
      </c>
      <c r="Z127" s="17" t="n"/>
      <c r="AA127" s="17" t="inlineStr">
        <is>
          <t>Multifuncion</t>
        </is>
      </c>
      <c r="AB127" s="17" t="n"/>
      <c r="AC127" s="17" t="inlineStr">
        <is>
          <t>Aplicar sobre el cabello humedo o seco, segun la necesidad, y finalizar como se prefiera.</t>
        </is>
      </c>
      <c r="AD127" s="17" t="inlineStr">
        <is>
          <t>Rosa mosqueta | Manteiga de karite | Manteiga de cupuacu | Manteiga de murumuru | Colageno vegetal | Cana-de-acucar | Goma de tapioca | Arginina | Babosa</t>
        </is>
      </c>
      <c r="AE127" s="17" t="inlineStr">
        <is>
          <t>Rosa mosqueta | Manteca de karite | Manteca de cupuazu | Manteca de murumuru | Colageno vegetal | Cana de azucar | Goma de tapioca | Arginina | Aloe vera</t>
        </is>
      </c>
      <c r="AF127" s="17" t="n"/>
      <c r="AG127" s="17" t="n"/>
      <c r="AH127" s="20" t="inlineStr">
        <is>
          <t>modelador-de-cachos-se-curve-500g.webp</t>
        </is>
      </c>
      <c r="AI127" s="17" t="n"/>
      <c r="AJ127" s="17" t="inlineStr">
        <is>
          <t>Cabello ondulado, rizado o afro (curvaturas 2A a 4C)</t>
        </is>
      </c>
      <c r="AK127" s="17" t="inlineStr">
        <is>
          <t>https://haskellcosmeticos.com.br/tratamentos-capilares/se-curve/</t>
        </is>
      </c>
      <c r="AL127" s="17" t="inlineStr">
        <is>
          <t>2026-07-24</t>
        </is>
      </c>
      <c r="AM127" s="21">
        <f>IF(ISBLANK(Q127),"",Q127*Parametros_PEN!$B$2)</f>
        <v/>
      </c>
      <c r="AN127" s="21">
        <f>IF(ISBLANK(Q127),"",Q127*Parametros_PEN!$B$2*(1+Parametros_PEN!$B$3))</f>
        <v/>
      </c>
      <c r="AO127" s="21">
        <f>IF(ISBLANK(R127),"",R127*Parametros_PEN!$B$2)</f>
        <v/>
      </c>
      <c r="AP127" s="21">
        <f>IF(ISBLANK(R127),"",R127*Parametros_PEN!$B$2*(1+Parametros_PEN!$B$3))</f>
        <v/>
      </c>
    </row>
    <row r="128" ht="79.84999999999999" customHeight="1" s="15">
      <c r="A128" s="17" t="inlineStr">
        <is>
          <t>HSK-0127</t>
        </is>
      </c>
      <c r="B128" s="17" t="inlineStr">
        <is>
          <t>crema-finalizadora-de-rizos-afro-se-curve-500-g</t>
        </is>
      </c>
      <c r="C128" s="17" t="n"/>
      <c r="D128" s="17" t="inlineStr">
        <is>
          <t>Haskell</t>
        </is>
      </c>
      <c r="E128" s="17" t="inlineStr">
        <is>
          <t>Creme Finalizador de Crespos Se Curve 500g</t>
        </is>
      </c>
      <c r="F128" s="17" t="inlineStr">
        <is>
          <t>Crema finalizadora de rizos afro Se Curve 500 g</t>
        </is>
      </c>
      <c r="G128" s="17" t="inlineStr">
        <is>
          <t>Se Curve</t>
        </is>
      </c>
      <c r="H128" s="17" t="inlineStr">
        <is>
          <t>Tratamentos Capilares</t>
        </is>
      </c>
      <c r="I128" s="17" t="inlineStr">
        <is>
          <t>Tratamientos capilares</t>
        </is>
      </c>
      <c r="J128" s="17" t="inlineStr">
        <is>
          <t>Cuidado para cabelo cacheado, crespo e ondulado</t>
        </is>
      </c>
      <c r="K128" s="17" t="inlineStr">
        <is>
          <t>Cuidado para cabello rizado, ondulado y afro</t>
        </is>
      </c>
      <c r="L128" s="17" t="inlineStr">
        <is>
          <t>Creme</t>
        </is>
      </c>
      <c r="M128" s="17" t="inlineStr">
        <is>
          <t>Crema</t>
        </is>
      </c>
      <c r="N128" s="17" t="inlineStr">
        <is>
          <t>500 g</t>
        </is>
      </c>
      <c r="O128" s="17" t="n">
        <v>500</v>
      </c>
      <c r="P128" s="17" t="inlineStr">
        <is>
          <t>g</t>
        </is>
      </c>
      <c r="Q128" s="18" t="n">
        <v>92.90000000000001</v>
      </c>
      <c r="R128" s="18" t="n"/>
      <c r="S128" s="19">
        <f>IF(ISBLANK(R128),0,IFERROR((Q128-R128)/Q128,0))</f>
        <v/>
      </c>
      <c r="T128" s="17">
        <f>R128&lt;&gt;""</f>
        <v/>
      </c>
      <c r="U128" s="17">
        <f>TRUE()</f>
        <v/>
      </c>
      <c r="V128" s="17" t="n"/>
      <c r="W128" s="17" t="inlineStr">
        <is>
          <t>Crema de la linea Se Curve: nutre y define las curvas naturales del cabello, desde ondas hasta rizos muy cerrados.</t>
        </is>
      </c>
      <c r="X128" s="17" t="n"/>
      <c r="Y128" s="17" t="inlineStr">
        <is>
          <t>Facilita el peinado | Hidrata y da forma segun el uso</t>
        </is>
      </c>
      <c r="Z128" s="17" t="n"/>
      <c r="AA128" s="17" t="inlineStr">
        <is>
          <t>Multifuncion</t>
        </is>
      </c>
      <c r="AB128" s="17" t="n"/>
      <c r="AC128" s="17" t="inlineStr">
        <is>
          <t>Aplicar sobre el cabello humedo o seco, segun la necesidad, y finalizar como se prefiera.</t>
        </is>
      </c>
      <c r="AD128" s="17" t="inlineStr">
        <is>
          <t>Rosa mosqueta | Manteiga de karite | Manteiga de cupuacu | Manteiga de murumuru | Colageno vegetal | Cana-de-acucar | Goma de tapioca | Arginina | Babosa</t>
        </is>
      </c>
      <c r="AE128" s="17" t="inlineStr">
        <is>
          <t>Rosa mosqueta | Manteca de karite | Manteca de cupuazu | Manteca de murumuru | Colageno vegetal | Cana de azucar | Goma de tapioca | Arginina | Aloe vera</t>
        </is>
      </c>
      <c r="AF128" s="17" t="n"/>
      <c r="AG128" s="17" t="n"/>
      <c r="AH128" s="20" t="inlineStr">
        <is>
          <t>creme-finalizador-de-crespos-se-curve-500g.webp</t>
        </is>
      </c>
      <c r="AI128" s="17" t="n"/>
      <c r="AJ128" s="17" t="inlineStr">
        <is>
          <t>Cabello ondulado, rizado o afro (curvaturas 2A a 4C)</t>
        </is>
      </c>
      <c r="AK128" s="17" t="inlineStr">
        <is>
          <t>https://haskellcosmeticos.com.br/tratamentos-capilares/se-curve/</t>
        </is>
      </c>
      <c r="AL128" s="17" t="inlineStr">
        <is>
          <t>2026-07-24</t>
        </is>
      </c>
      <c r="AM128" s="21">
        <f>IF(ISBLANK(Q128),"",Q128*Parametros_PEN!$B$2)</f>
        <v/>
      </c>
      <c r="AN128" s="21">
        <f>IF(ISBLANK(Q128),"",Q128*Parametros_PEN!$B$2*(1+Parametros_PEN!$B$3))</f>
        <v/>
      </c>
      <c r="AO128" s="21">
        <f>IF(ISBLANK(R128),"",R128*Parametros_PEN!$B$2)</f>
        <v/>
      </c>
      <c r="AP128" s="21">
        <f>IF(ISBLANK(R128),"",R128*Parametros_PEN!$B$2*(1+Parametros_PEN!$B$3))</f>
        <v/>
      </c>
    </row>
    <row r="129" ht="79.84999999999999" customHeight="1" s="15">
      <c r="A129" s="17" t="inlineStr">
        <is>
          <t>HSK-0128</t>
        </is>
      </c>
      <c r="B129" s="17" t="inlineStr">
        <is>
          <t>aceite-del-poder-se-curve-60-ml</t>
        </is>
      </c>
      <c r="C129" s="17" t="n"/>
      <c r="D129" s="17" t="inlineStr">
        <is>
          <t>Haskell</t>
        </is>
      </c>
      <c r="E129" s="17" t="inlineStr">
        <is>
          <t>Oleo do Poder Se Curve 60ml</t>
        </is>
      </c>
      <c r="F129" s="17" t="inlineStr">
        <is>
          <t>Aceite del poder Se Curve 60 ml</t>
        </is>
      </c>
      <c r="G129" s="17" t="inlineStr">
        <is>
          <t>Se Curve</t>
        </is>
      </c>
      <c r="H129" s="17" t="inlineStr">
        <is>
          <t>Tratamentos Capilares</t>
        </is>
      </c>
      <c r="I129" s="17" t="inlineStr">
        <is>
          <t>Tratamientos capilares</t>
        </is>
      </c>
      <c r="J129" s="17" t="inlineStr">
        <is>
          <t>Cuidado para cabelo cacheado, crespo e ondulado</t>
        </is>
      </c>
      <c r="K129" s="17" t="inlineStr">
        <is>
          <t>Cuidado para cabello rizado, ondulado y afro</t>
        </is>
      </c>
      <c r="L129" s="17" t="inlineStr">
        <is>
          <t>Oleo</t>
        </is>
      </c>
      <c r="M129" s="17" t="inlineStr">
        <is>
          <t>Aceite capilar</t>
        </is>
      </c>
      <c r="N129" s="17" t="inlineStr">
        <is>
          <t>60 ml</t>
        </is>
      </c>
      <c r="O129" s="17" t="n">
        <v>60</v>
      </c>
      <c r="P129" s="17" t="inlineStr">
        <is>
          <t>ml</t>
        </is>
      </c>
      <c r="Q129" s="18" t="n">
        <v>53.9</v>
      </c>
      <c r="R129" s="18" t="n"/>
      <c r="S129" s="19">
        <f>IF(ISBLANK(R129),0,IFERROR((Q129-R129)/Q129,0))</f>
        <v/>
      </c>
      <c r="T129" s="17">
        <f>R129&lt;&gt;""</f>
        <v/>
      </c>
      <c r="U129" s="17">
        <f>TRUE()</f>
        <v/>
      </c>
      <c r="V129" s="17" t="n"/>
      <c r="W129" s="17" t="inlineStr">
        <is>
          <t>Aceite capilar finalizador de la linea Se Curve, que aporta brillo: nutre y define las curvas naturales del cabello, desde ondas hasta rizos muy cerrados.</t>
        </is>
      </c>
      <c r="X129" s="17" t="n"/>
      <c r="Y129" s="17" t="inlineStr">
        <is>
          <t>Aporta brillo | Sella las puntas | Protege del resecamiento</t>
        </is>
      </c>
      <c r="Z129" s="17" t="n"/>
      <c r="AA129" s="17" t="inlineStr">
        <is>
          <t>Aceite finalizador</t>
        </is>
      </c>
      <c r="AB129" s="17" t="n"/>
      <c r="AC129" s="17" t="inlineStr">
        <is>
          <t>Aplicar unas gotas en el largo y las puntas del cabello seco o humedo.</t>
        </is>
      </c>
      <c r="AD129" s="17" t="inlineStr">
        <is>
          <t>Rosa mosqueta | Manteiga de karite | Manteiga de cupuacu | Manteiga de murumuru | Colageno vegetal | Cana-de-acucar | Goma de tapioca | Arginina | Babosa</t>
        </is>
      </c>
      <c r="AE129" s="17" t="inlineStr">
        <is>
          <t>Rosa mosqueta | Manteca de karite | Manteca de cupuazu | Manteca de murumuru | Colageno vegetal | Cana de azucar | Goma de tapioca | Arginina | Aloe vera</t>
        </is>
      </c>
      <c r="AF129" s="17" t="n"/>
      <c r="AG129" s="17" t="n"/>
      <c r="AH129" s="20" t="inlineStr">
        <is>
          <t>oleo-do-poder-se-curve-60ml.webp</t>
        </is>
      </c>
      <c r="AI129" s="17" t="n"/>
      <c r="AJ129" s="17" t="inlineStr">
        <is>
          <t>Cabello ondulado, rizado o afro (curvaturas 2A a 4C)</t>
        </is>
      </c>
      <c r="AK129" s="17" t="inlineStr">
        <is>
          <t>https://haskellcosmeticos.com.br/tratamentos-capilares/se-curve/</t>
        </is>
      </c>
      <c r="AL129" s="17" t="inlineStr">
        <is>
          <t>2026-07-24</t>
        </is>
      </c>
      <c r="AM129" s="21">
        <f>IF(ISBLANK(Q129),"",Q129*Parametros_PEN!$B$2)</f>
        <v/>
      </c>
      <c r="AN129" s="21">
        <f>IF(ISBLANK(Q129),"",Q129*Parametros_PEN!$B$2*(1+Parametros_PEN!$B$3))</f>
        <v/>
      </c>
      <c r="AO129" s="21">
        <f>IF(ISBLANK(R129),"",R129*Parametros_PEN!$B$2)</f>
        <v/>
      </c>
      <c r="AP129" s="21">
        <f>IF(ISBLANK(R129),"",R129*Parametros_PEN!$B$2*(1+Parametros_PEN!$B$3))</f>
        <v/>
      </c>
    </row>
    <row r="130" ht="79.84999999999999" customHeight="1" s="15">
      <c r="A130" s="17" t="inlineStr">
        <is>
          <t>HSK-0129</t>
        </is>
      </c>
      <c r="B130" s="17" t="inlineStr">
        <is>
          <t>mascarilla-hidronutricion-se-curve-500-g</t>
        </is>
      </c>
      <c r="C130" s="17" t="n"/>
      <c r="D130" s="17" t="inlineStr">
        <is>
          <t>Haskell</t>
        </is>
      </c>
      <c r="E130" s="17" t="inlineStr">
        <is>
          <t>Mascara Hidronutricao Se Curve 500g</t>
        </is>
      </c>
      <c r="F130" s="17" t="inlineStr">
        <is>
          <t>Mascarilla hidronutricion Se Curve 500 g</t>
        </is>
      </c>
      <c r="G130" s="17" t="inlineStr">
        <is>
          <t>Se Curve</t>
        </is>
      </c>
      <c r="H130" s="17" t="inlineStr">
        <is>
          <t>Tratamentos Capilares</t>
        </is>
      </c>
      <c r="I130" s="17" t="inlineStr">
        <is>
          <t>Tratamientos capilares</t>
        </is>
      </c>
      <c r="J130" s="17" t="inlineStr">
        <is>
          <t>Cuidado para cabelo cacheado, crespo e ondulado</t>
        </is>
      </c>
      <c r="K130" s="17" t="inlineStr">
        <is>
          <t>Cuidado para cabello rizado, ondulado y afro</t>
        </is>
      </c>
      <c r="L130" s="17" t="inlineStr">
        <is>
          <t>Mascara de Tratamento</t>
        </is>
      </c>
      <c r="M130" s="17" t="inlineStr">
        <is>
          <t>Mascarilla de tratamiento</t>
        </is>
      </c>
      <c r="N130" s="17" t="inlineStr">
        <is>
          <t>500 g</t>
        </is>
      </c>
      <c r="O130" s="17" t="n">
        <v>500</v>
      </c>
      <c r="P130" s="17" t="inlineStr">
        <is>
          <t>g</t>
        </is>
      </c>
      <c r="Q130" s="18" t="n">
        <v>81.90000000000001</v>
      </c>
      <c r="R130" s="18" t="n"/>
      <c r="S130" s="19">
        <f>IF(ISBLANK(R130),0,IFERROR((Q130-R130)/Q130,0))</f>
        <v/>
      </c>
      <c r="T130" s="17">
        <f>R130&lt;&gt;""</f>
        <v/>
      </c>
      <c r="U130" s="17">
        <f>TRUE()</f>
        <v/>
      </c>
      <c r="V130" s="17" t="n"/>
      <c r="W130" s="17" t="inlineStr">
        <is>
          <t>Mascarilla de tratamiento concentrada de la linea Se Curve, de uso posterior al champu: nutre y define las curvas naturales del cabello, desde ondas hasta rizos muy cerrados.</t>
        </is>
      </c>
      <c r="X130" s="17" t="n"/>
      <c r="Y130" s="17" t="inlineStr">
        <is>
          <t>Tratamiento concentrado | Actua en profundidad sobre la fibra capilar | Refuerza el resultado de la linea</t>
        </is>
      </c>
      <c r="Z130" s="17" t="n"/>
      <c r="AA130" s="17" t="inlineStr">
        <is>
          <t>Tratamiento intensivo</t>
        </is>
      </c>
      <c r="AB130" s="17" t="n"/>
      <c r="AC130" s="17" t="inlineStr">
        <is>
          <t>Aplicar mechon por mechon despues del champu, dejar actuar de 3 a 5 minutos y enjuagar bien.</t>
        </is>
      </c>
      <c r="AD130" s="17" t="inlineStr">
        <is>
          <t>Rosa mosqueta | Manteiga de karite | Manteiga de cupuacu | Manteiga de murumuru | Colageno vegetal | Cana-de-acucar | Goma de tapioca | Arginina | Babosa</t>
        </is>
      </c>
      <c r="AE130" s="17" t="inlineStr">
        <is>
          <t>Rosa mosqueta | Manteca de karite | Manteca de cupuazu | Manteca de murumuru | Colageno vegetal | Cana de azucar | Goma de tapioca | Arginina | Aloe vera</t>
        </is>
      </c>
      <c r="AF130" s="17" t="n"/>
      <c r="AG130" s="17" t="n"/>
      <c r="AH130" s="20" t="inlineStr">
        <is>
          <t>mascara-hidronutricao-se-curve-500g.webp</t>
        </is>
      </c>
      <c r="AI130" s="17" t="n"/>
      <c r="AJ130" s="17" t="inlineStr">
        <is>
          <t>Cabello ondulado, rizado o afro (curvaturas 2A a 4C)</t>
        </is>
      </c>
      <c r="AK130" s="17" t="inlineStr">
        <is>
          <t>https://haskellcosmeticos.com.br/tratamentos-capilares/se-curve/</t>
        </is>
      </c>
      <c r="AL130" s="17" t="inlineStr">
        <is>
          <t>2026-07-24</t>
        </is>
      </c>
      <c r="AM130" s="21">
        <f>IF(ISBLANK(Q130),"",Q130*Parametros_PEN!$B$2)</f>
        <v/>
      </c>
      <c r="AN130" s="21">
        <f>IF(ISBLANK(Q130),"",Q130*Parametros_PEN!$B$2*(1+Parametros_PEN!$B$3))</f>
        <v/>
      </c>
      <c r="AO130" s="21">
        <f>IF(ISBLANK(R130),"",R130*Parametros_PEN!$B$2)</f>
        <v/>
      </c>
      <c r="AP130" s="21">
        <f>IF(ISBLANK(R130),"",R130*Parametros_PEN!$B$2*(1+Parametros_PEN!$B$3))</f>
        <v/>
      </c>
    </row>
    <row r="131" ht="79.84999999999999" customHeight="1" s="15">
      <c r="A131" s="17" t="inlineStr">
        <is>
          <t>HSK-0130</t>
        </is>
      </c>
      <c r="B131" s="17" t="inlineStr">
        <is>
          <t>mascarilla-poder-de-los-aceites-se-curve-500-g</t>
        </is>
      </c>
      <c r="C131" s="17" t="n"/>
      <c r="D131" s="17" t="inlineStr">
        <is>
          <t>Haskell</t>
        </is>
      </c>
      <c r="E131" s="17" t="inlineStr">
        <is>
          <t>Mascara Poder dos Oleos Se Curve 500g</t>
        </is>
      </c>
      <c r="F131" s="17" t="inlineStr">
        <is>
          <t>Mascarilla poder de los aceites Se Curve 500 g</t>
        </is>
      </c>
      <c r="G131" s="17" t="inlineStr">
        <is>
          <t>Se Curve</t>
        </is>
      </c>
      <c r="H131" s="17" t="inlineStr">
        <is>
          <t>Tratamentos Capilares</t>
        </is>
      </c>
      <c r="I131" s="17" t="inlineStr">
        <is>
          <t>Tratamientos capilares</t>
        </is>
      </c>
      <c r="J131" s="17" t="inlineStr">
        <is>
          <t>Cuidado para cabelo cacheado, crespo e ondulado</t>
        </is>
      </c>
      <c r="K131" s="17" t="inlineStr">
        <is>
          <t>Cuidado para cabello rizado, ondulado y afro</t>
        </is>
      </c>
      <c r="L131" s="17" t="inlineStr">
        <is>
          <t>Mascara de Tratamento</t>
        </is>
      </c>
      <c r="M131" s="17" t="inlineStr">
        <is>
          <t>Mascarilla de tratamiento</t>
        </is>
      </c>
      <c r="N131" s="17" t="inlineStr">
        <is>
          <t>500 g</t>
        </is>
      </c>
      <c r="O131" s="17" t="n">
        <v>500</v>
      </c>
      <c r="P131" s="17" t="inlineStr">
        <is>
          <t>g</t>
        </is>
      </c>
      <c r="Q131" s="18" t="n">
        <v>81.90000000000001</v>
      </c>
      <c r="R131" s="18" t="n"/>
      <c r="S131" s="19">
        <f>IF(ISBLANK(R131),0,IFERROR((Q131-R131)/Q131,0))</f>
        <v/>
      </c>
      <c r="T131" s="17">
        <f>R131&lt;&gt;""</f>
        <v/>
      </c>
      <c r="U131" s="17">
        <f>TRUE()</f>
        <v/>
      </c>
      <c r="V131" s="17" t="n"/>
      <c r="W131" s="17" t="inlineStr">
        <is>
          <t>Mascarilla de tratamiento concentrada de la linea Se Curve, de uso posterior al champu: nutre y define las curvas naturales del cabello, desde ondas hasta rizos muy cerrados.</t>
        </is>
      </c>
      <c r="X131" s="17" t="n"/>
      <c r="Y131" s="17" t="inlineStr">
        <is>
          <t>Tratamiento concentrado | Actua en profundidad sobre la fibra capilar | Refuerza el resultado de la linea</t>
        </is>
      </c>
      <c r="Z131" s="17" t="n"/>
      <c r="AA131" s="17" t="inlineStr">
        <is>
          <t>Tratamiento intensivo</t>
        </is>
      </c>
      <c r="AB131" s="17" t="n"/>
      <c r="AC131" s="17" t="inlineStr">
        <is>
          <t>Aplicar mechon por mechon despues del champu, dejar actuar de 3 a 5 minutos y enjuagar bien.</t>
        </is>
      </c>
      <c r="AD131" s="17" t="inlineStr">
        <is>
          <t>Rosa mosqueta | Manteiga de karite | Manteiga de cupuacu | Manteiga de murumuru | Colageno vegetal | Cana-de-acucar | Goma de tapioca | Arginina | Babosa</t>
        </is>
      </c>
      <c r="AE131" s="17" t="inlineStr">
        <is>
          <t>Rosa mosqueta | Manteca de karite | Manteca de cupuazu | Manteca de murumuru | Colageno vegetal | Cana de azucar | Goma de tapioca | Arginina | Aloe vera</t>
        </is>
      </c>
      <c r="AF131" s="17" t="n"/>
      <c r="AG131" s="17" t="n"/>
      <c r="AH131" s="20" t="inlineStr">
        <is>
          <t>mascara-poder-dos-oleos-se-curve-500g.webp</t>
        </is>
      </c>
      <c r="AI131" s="17" t="n"/>
      <c r="AJ131" s="17" t="inlineStr">
        <is>
          <t>Cabello ondulado, rizado o afro (curvaturas 2A a 4C)</t>
        </is>
      </c>
      <c r="AK131" s="17" t="inlineStr">
        <is>
          <t>https://haskellcosmeticos.com.br/tratamentos-capilares/se-curve/</t>
        </is>
      </c>
      <c r="AL131" s="17" t="inlineStr">
        <is>
          <t>2026-07-24</t>
        </is>
      </c>
      <c r="AM131" s="21">
        <f>IF(ISBLANK(Q131),"",Q131*Parametros_PEN!$B$2)</f>
        <v/>
      </c>
      <c r="AN131" s="21">
        <f>IF(ISBLANK(Q131),"",Q131*Parametros_PEN!$B$2*(1+Parametros_PEN!$B$3))</f>
        <v/>
      </c>
      <c r="AO131" s="21">
        <f>IF(ISBLANK(R131),"",R131*Parametros_PEN!$B$2)</f>
        <v/>
      </c>
      <c r="AP131" s="21">
        <f>IF(ISBLANK(R131),"",R131*Parametros_PEN!$B$2*(1+Parametros_PEN!$B$3))</f>
        <v/>
      </c>
    </row>
    <row r="132" ht="46.25" customHeight="1" s="15">
      <c r="A132" s="17" t="inlineStr">
        <is>
          <t>HSK-0131</t>
        </is>
      </c>
      <c r="B132" s="17" t="inlineStr">
        <is>
          <t>champu-pos-sol-s-o-s-verano-300-ml</t>
        </is>
      </c>
      <c r="C132" s="17" t="n"/>
      <c r="D132" s="17" t="inlineStr">
        <is>
          <t>Haskell</t>
        </is>
      </c>
      <c r="E132" s="17" t="inlineStr">
        <is>
          <t>Shampoo Pos-Sol S.O.S Verao 300ml</t>
        </is>
      </c>
      <c r="F132" s="17" t="inlineStr">
        <is>
          <t>Champu pos-sol S.O.S. Verano 300 ml</t>
        </is>
      </c>
      <c r="G132" s="17" t="inlineStr">
        <is>
          <t>S.O.S Verao</t>
        </is>
      </c>
      <c r="H132" s="17" t="inlineStr">
        <is>
          <t>Tratamentos Capilares</t>
        </is>
      </c>
      <c r="I132" s="17" t="inlineStr">
        <is>
          <t>Tratamientos capilares</t>
        </is>
      </c>
      <c r="J132" s="17" t="inlineStr">
        <is>
          <t>Protecao solar e contra cloro</t>
        </is>
      </c>
      <c r="K132" s="17" t="inlineStr">
        <is>
          <t>Proteccion solar y contra el cloro</t>
        </is>
      </c>
      <c r="L132" s="17" t="inlineStr">
        <is>
          <t>Shampoo</t>
        </is>
      </c>
      <c r="M132" s="17" t="inlineStr">
        <is>
          <t>Champu</t>
        </is>
      </c>
      <c r="N132" s="17" t="inlineStr">
        <is>
          <t>300 ml</t>
        </is>
      </c>
      <c r="O132" s="17" t="n">
        <v>300</v>
      </c>
      <c r="P132" s="17" t="inlineStr">
        <is>
          <t>ml</t>
        </is>
      </c>
      <c r="Q132" s="18" t="n">
        <v>62.9</v>
      </c>
      <c r="R132" s="18" t="n"/>
      <c r="S132" s="19">
        <f>IF(ISBLANK(R132),0,IFERROR((Q132-R132)/Q132,0))</f>
        <v/>
      </c>
      <c r="T132" s="17">
        <f>R132&lt;&gt;""</f>
        <v/>
      </c>
      <c r="U132" s="17">
        <f>TRUE()</f>
        <v/>
      </c>
      <c r="V132" s="17" t="n"/>
      <c r="W132" s="17" t="inlineStr">
        <is>
          <t>Champu de limpieza suave de la linea S.O.S Verao, que prepara el cabello para el tratamiento: protege el cabello del sol, el mar y la piscina, y ayuda a evitar el tono verdoso del cloro.</t>
        </is>
      </c>
      <c r="X132" s="17" t="n"/>
      <c r="Y132" s="17" t="inlineStr">
        <is>
          <t>Limpieza suave sin resecar | Prepara el cabello para el resto de la rutina | Respeta el equilibrio del cuero cabelludo</t>
        </is>
      </c>
      <c r="Z132" s="17" t="n"/>
      <c r="AA132" s="17" t="inlineStr">
        <is>
          <t>Limpiador suave</t>
        </is>
      </c>
      <c r="AB132" s="17" t="n"/>
      <c r="AC132" s="17" t="inlineStr">
        <is>
          <t>Aplicar sobre el cabello mojado, masajear el cuero cabelludo con movimientos suaves y enjuagar bien.</t>
        </is>
      </c>
      <c r="AD132" s="17" t="inlineStr">
        <is>
          <t>Oleo de girassol | Vitamina E</t>
        </is>
      </c>
      <c r="AE132" s="17" t="inlineStr">
        <is>
          <t>Aceite de girasol | Vitamina E</t>
        </is>
      </c>
      <c r="AF132" s="17" t="n"/>
      <c r="AG132" s="17" t="n"/>
      <c r="AH132" s="20" t="inlineStr">
        <is>
          <t>shampoo-pos-sol-s-o-s-verao-300ml.webp</t>
        </is>
      </c>
      <c r="AI132" s="17" t="n"/>
      <c r="AJ132" s="17" t="inlineStr">
        <is>
          <t>Cabello expuesto al sol, al mar o a la piscina</t>
        </is>
      </c>
      <c r="AK132" s="17" t="inlineStr">
        <is>
          <t>https://haskellcosmeticos.com.br/tratamentos-capilares/linha-pos-sol-sos-verao-haskell/</t>
        </is>
      </c>
      <c r="AL132" s="17" t="inlineStr">
        <is>
          <t>2026-07-24</t>
        </is>
      </c>
      <c r="AM132" s="21">
        <f>IF(ISBLANK(Q132),"",Q132*Parametros_PEN!$B$2)</f>
        <v/>
      </c>
      <c r="AN132" s="21">
        <f>IF(ISBLANK(Q132),"",Q132*Parametros_PEN!$B$2*(1+Parametros_PEN!$B$3))</f>
        <v/>
      </c>
      <c r="AO132" s="21">
        <f>IF(ISBLANK(R132),"",R132*Parametros_PEN!$B$2)</f>
        <v/>
      </c>
      <c r="AP132" s="21">
        <f>IF(ISBLANK(R132),"",R132*Parametros_PEN!$B$2*(1+Parametros_PEN!$B$3))</f>
        <v/>
      </c>
    </row>
    <row r="133" ht="35.05" customHeight="1" s="15">
      <c r="A133" s="17" t="inlineStr">
        <is>
          <t>HSK-0132</t>
        </is>
      </c>
      <c r="B133" s="17" t="inlineStr">
        <is>
          <t>crema-pre-y-post-sol-s-o-s-verano-240-g</t>
        </is>
      </c>
      <c r="C133" s="17" t="n"/>
      <c r="D133" s="17" t="inlineStr">
        <is>
          <t>Haskell</t>
        </is>
      </c>
      <c r="E133" s="17" t="inlineStr">
        <is>
          <t>Creme Pre e Pos-Sol S.O.S Verao 240g</t>
        </is>
      </c>
      <c r="F133" s="17" t="inlineStr">
        <is>
          <t>Crema pre y post-sol S.O.S. Verano 240 g</t>
        </is>
      </c>
      <c r="G133" s="17" t="inlineStr">
        <is>
          <t>S.O.S Verao</t>
        </is>
      </c>
      <c r="H133" s="17" t="inlineStr">
        <is>
          <t>Tratamentos Capilares</t>
        </is>
      </c>
      <c r="I133" s="17" t="inlineStr">
        <is>
          <t>Tratamientos capilares</t>
        </is>
      </c>
      <c r="J133" s="17" t="inlineStr">
        <is>
          <t>Protecao solar e contra cloro</t>
        </is>
      </c>
      <c r="K133" s="17" t="inlineStr">
        <is>
          <t>Proteccion solar y contra el cloro</t>
        </is>
      </c>
      <c r="L133" s="17" t="inlineStr">
        <is>
          <t>Creme</t>
        </is>
      </c>
      <c r="M133" s="17" t="inlineStr">
        <is>
          <t>Crema</t>
        </is>
      </c>
      <c r="N133" s="17" t="inlineStr">
        <is>
          <t>240 g</t>
        </is>
      </c>
      <c r="O133" s="17" t="n">
        <v>240</v>
      </c>
      <c r="P133" s="17" t="inlineStr">
        <is>
          <t>g</t>
        </is>
      </c>
      <c r="Q133" s="18" t="n">
        <v>68.90000000000001</v>
      </c>
      <c r="R133" s="18" t="n"/>
      <c r="S133" s="19">
        <f>IF(ISBLANK(R133),0,IFERROR((Q133-R133)/Q133,0))</f>
        <v/>
      </c>
      <c r="T133" s="17">
        <f>R133&lt;&gt;""</f>
        <v/>
      </c>
      <c r="U133" s="17">
        <f>TRUE()</f>
        <v/>
      </c>
      <c r="V133" s="17" t="n"/>
      <c r="W133" s="17" t="inlineStr">
        <is>
          <t>Crema de la linea S.O.S Verao: protege el cabello del sol, el mar y la piscina, y ayuda a evitar el tono verdoso del cloro.</t>
        </is>
      </c>
      <c r="X133" s="17" t="n"/>
      <c r="Y133" s="17" t="inlineStr">
        <is>
          <t>Facilita el peinado | Hidrata y da forma segun el uso</t>
        </is>
      </c>
      <c r="Z133" s="17" t="n"/>
      <c r="AA133" s="17" t="inlineStr">
        <is>
          <t>Multifuncion</t>
        </is>
      </c>
      <c r="AB133" s="17" t="n"/>
      <c r="AC133" s="17" t="inlineStr">
        <is>
          <t>Aplicar sobre el cabello humedo o seco, segun la necesidad, y finalizar como se prefiera.</t>
        </is>
      </c>
      <c r="AD133" s="17" t="inlineStr">
        <is>
          <t>Oleo de girassol | Vitamina E</t>
        </is>
      </c>
      <c r="AE133" s="17" t="inlineStr">
        <is>
          <t>Aceite de girasol | Vitamina E</t>
        </is>
      </c>
      <c r="AF133" s="17" t="n"/>
      <c r="AG133" s="17" t="n"/>
      <c r="AH133" s="20" t="inlineStr">
        <is>
          <t>creme-pre-e-pos-sol-s-o-s-verao-240g.webp</t>
        </is>
      </c>
      <c r="AI133" s="17" t="n"/>
      <c r="AJ133" s="17" t="inlineStr">
        <is>
          <t>Cabello expuesto al sol, al mar o a la piscina</t>
        </is>
      </c>
      <c r="AK133" s="17" t="inlineStr">
        <is>
          <t>https://haskellcosmeticos.com.br/tratamentos-capilares/linha-pos-sol-sos-verao-haskell/</t>
        </is>
      </c>
      <c r="AL133" s="17" t="inlineStr">
        <is>
          <t>2026-07-24</t>
        </is>
      </c>
      <c r="AM133" s="21">
        <f>IF(ISBLANK(Q133),"",Q133*Parametros_PEN!$B$2)</f>
        <v/>
      </c>
      <c r="AN133" s="21">
        <f>IF(ISBLANK(Q133),"",Q133*Parametros_PEN!$B$2*(1+Parametros_PEN!$B$3))</f>
        <v/>
      </c>
      <c r="AO133" s="21">
        <f>IF(ISBLANK(R133),"",R133*Parametros_PEN!$B$2)</f>
        <v/>
      </c>
      <c r="AP133" s="21">
        <f>IF(ISBLANK(R133),"",R133*Parametros_PEN!$B$2*(1+Parametros_PEN!$B$3))</f>
        <v/>
      </c>
    </row>
    <row r="134" ht="46.25" customHeight="1" s="15">
      <c r="A134" s="17" t="inlineStr">
        <is>
          <t>HSK-0133</t>
        </is>
      </c>
      <c r="B134" s="17" t="inlineStr">
        <is>
          <t>mascarilla-de-tratamiento-s-o-s-verano-300-g</t>
        </is>
      </c>
      <c r="C134" s="17" t="n"/>
      <c r="D134" s="17" t="inlineStr">
        <is>
          <t>Haskell</t>
        </is>
      </c>
      <c r="E134" s="17" t="inlineStr">
        <is>
          <t>Mascara de Tratamento S.O.S Verao 300g</t>
        </is>
      </c>
      <c r="F134" s="17" t="inlineStr">
        <is>
          <t>Mascarilla de tratamiento S.O.S. Verano 300 g</t>
        </is>
      </c>
      <c r="G134" s="17" t="inlineStr">
        <is>
          <t>S.O.S Verao</t>
        </is>
      </c>
      <c r="H134" s="17" t="inlineStr">
        <is>
          <t>Tratamentos Capilares</t>
        </is>
      </c>
      <c r="I134" s="17" t="inlineStr">
        <is>
          <t>Tratamientos capilares</t>
        </is>
      </c>
      <c r="J134" s="17" t="inlineStr">
        <is>
          <t>Protecao solar e contra cloro</t>
        </is>
      </c>
      <c r="K134" s="17" t="inlineStr">
        <is>
          <t>Proteccion solar y contra el cloro</t>
        </is>
      </c>
      <c r="L134" s="17" t="inlineStr">
        <is>
          <t>Mascara de Tratamento</t>
        </is>
      </c>
      <c r="M134" s="17" t="inlineStr">
        <is>
          <t>Mascarilla de tratamiento</t>
        </is>
      </c>
      <c r="N134" s="17" t="inlineStr">
        <is>
          <t>300 g</t>
        </is>
      </c>
      <c r="O134" s="17" t="n">
        <v>300</v>
      </c>
      <c r="P134" s="17" t="inlineStr">
        <is>
          <t>g</t>
        </is>
      </c>
      <c r="Q134" s="18" t="n">
        <v>74.90000000000001</v>
      </c>
      <c r="R134" s="18" t="n"/>
      <c r="S134" s="19">
        <f>IF(ISBLANK(R134),0,IFERROR((Q134-R134)/Q134,0))</f>
        <v/>
      </c>
      <c r="T134" s="17">
        <f>R134&lt;&gt;""</f>
        <v/>
      </c>
      <c r="U134" s="17">
        <f>TRUE()</f>
        <v/>
      </c>
      <c r="V134" s="17" t="n"/>
      <c r="W134" s="17" t="inlineStr">
        <is>
          <t>Mascarilla de tratamiento concentrada de la linea S.O.S Verao, de uso posterior al champu: protege el cabello del sol, el mar y la piscina, y ayuda a evitar el tono verdoso del cloro.</t>
        </is>
      </c>
      <c r="X134" s="17" t="n"/>
      <c r="Y134" s="17" t="inlineStr">
        <is>
          <t>Tratamiento concentrado | Actua en profundidad sobre la fibra capilar | Refuerza el resultado de la linea</t>
        </is>
      </c>
      <c r="Z134" s="17" t="n"/>
      <c r="AA134" s="17" t="inlineStr">
        <is>
          <t>Tratamiento intensivo</t>
        </is>
      </c>
      <c r="AB134" s="17" t="n"/>
      <c r="AC134" s="17" t="inlineStr">
        <is>
          <t>Aplicar mechon por mechon despues del champu, dejar actuar de 3 a 5 minutos y enjuagar bien.</t>
        </is>
      </c>
      <c r="AD134" s="17" t="inlineStr">
        <is>
          <t>Oleo de girassol | Vitamina E</t>
        </is>
      </c>
      <c r="AE134" s="17" t="inlineStr">
        <is>
          <t>Aceite de girasol | Vitamina E</t>
        </is>
      </c>
      <c r="AF134" s="17" t="n"/>
      <c r="AG134" s="17" t="n"/>
      <c r="AH134" s="20" t="inlineStr">
        <is>
          <t>mascara-de-tratamento-s-o-s-verao-300g.webp</t>
        </is>
      </c>
      <c r="AI134" s="17" t="n"/>
      <c r="AJ134" s="17" t="inlineStr">
        <is>
          <t>Cabello expuesto al sol, al mar o a la piscina</t>
        </is>
      </c>
      <c r="AK134" s="17" t="inlineStr">
        <is>
          <t>https://haskellcosmeticos.com.br/tratamentos-capilares/linha-pos-sol-sos-verao-haskell/</t>
        </is>
      </c>
      <c r="AL134" s="17" t="inlineStr">
        <is>
          <t>2026-07-24</t>
        </is>
      </c>
      <c r="AM134" s="21">
        <f>IF(ISBLANK(Q134),"",Q134*Parametros_PEN!$B$2)</f>
        <v/>
      </c>
      <c r="AN134" s="21">
        <f>IF(ISBLANK(Q134),"",Q134*Parametros_PEN!$B$2*(1+Parametros_PEN!$B$3))</f>
        <v/>
      </c>
      <c r="AO134" s="21">
        <f>IF(ISBLANK(R134),"",R134*Parametros_PEN!$B$2)</f>
        <v/>
      </c>
      <c r="AP134" s="21">
        <f>IF(ISBLANK(R134),"",R134*Parametros_PEN!$B$2*(1+Parametros_PEN!$B$3))</f>
        <v/>
      </c>
    </row>
    <row r="135" ht="46.25" customHeight="1" s="15">
      <c r="A135" s="17" t="inlineStr">
        <is>
          <t>HSK-0134</t>
        </is>
      </c>
      <c r="B135" s="17" t="inlineStr">
        <is>
          <t>supermascarilla-brillo-espejado-240-g</t>
        </is>
      </c>
      <c r="C135" s="17" t="n"/>
      <c r="D135" s="17" t="inlineStr">
        <is>
          <t>Haskell</t>
        </is>
      </c>
      <c r="E135" s="17" t="inlineStr">
        <is>
          <t>Supermascara Brilho Espelhado 240g</t>
        </is>
      </c>
      <c r="F135" s="17" t="inlineStr">
        <is>
          <t>Supermascarilla brillo espejado 240 g</t>
        </is>
      </c>
      <c r="G135" s="17" t="inlineStr">
        <is>
          <t>Supermascaras</t>
        </is>
      </c>
      <c r="H135" s="17" t="inlineStr">
        <is>
          <t>Tratamentos Capilares</t>
        </is>
      </c>
      <c r="I135" s="17" t="inlineStr">
        <is>
          <t>Tratamientos capilares</t>
        </is>
      </c>
      <c r="J135" s="17" t="inlineStr">
        <is>
          <t>Tratamento ultraintensivo especializado</t>
        </is>
      </c>
      <c r="K135" s="17" t="inlineStr">
        <is>
          <t>Tratamiento ultraintensivo especializado</t>
        </is>
      </c>
      <c r="L135" s="17" t="inlineStr">
        <is>
          <t>Mascara de Tratamento</t>
        </is>
      </c>
      <c r="M135" s="17" t="inlineStr">
        <is>
          <t>Mascarilla de tratamiento</t>
        </is>
      </c>
      <c r="N135" s="17" t="inlineStr">
        <is>
          <t>240 g</t>
        </is>
      </c>
      <c r="O135" s="17" t="n">
        <v>240</v>
      </c>
      <c r="P135" s="17" t="inlineStr">
        <is>
          <t>g</t>
        </is>
      </c>
      <c r="Q135" s="18" t="n">
        <v>74.90000000000001</v>
      </c>
      <c r="R135" s="18" t="n"/>
      <c r="S135" s="19">
        <f>IF(ISBLANK(R135),0,IFERROR((Q135-R135)/Q135,0))</f>
        <v/>
      </c>
      <c r="T135" s="17">
        <f>R135&lt;&gt;""</f>
        <v/>
      </c>
      <c r="U135" s="17">
        <f>TRUE()</f>
        <v/>
      </c>
      <c r="V135" s="17" t="n"/>
      <c r="W135" s="17" t="inlineStr">
        <is>
          <t>Mascarilla de tratamiento concentrada de la linea Supermascaras, de uso posterior al champu: ofrece un tratamiento concentrado de alto rendimiento para una necesidad especifica del cabello.</t>
        </is>
      </c>
      <c r="X135" s="17" t="n"/>
      <c r="Y135" s="17" t="inlineStr">
        <is>
          <t>Tratamiento concentrado | Actua en profundidad sobre la fibra capilar | Refuerza el resultado de la linea</t>
        </is>
      </c>
      <c r="Z135" s="17" t="n"/>
      <c r="AA135" s="17" t="inlineStr">
        <is>
          <t>Tratamiento intensivo</t>
        </is>
      </c>
      <c r="AB135" s="17" t="n"/>
      <c r="AC135" s="17" t="inlineStr">
        <is>
          <t>Aplicar mechon por mechon despues del champu, dejar actuar de 3 a 5 minutos y enjuagar bien.</t>
        </is>
      </c>
      <c r="AD135" s="17" t="n"/>
      <c r="AE135" s="17" t="n"/>
      <c r="AF135" s="17" t="n"/>
      <c r="AG135" s="17" t="n"/>
      <c r="AH135" s="20" t="inlineStr">
        <is>
          <t>supermascara-brilho-espelhado-240g.webp</t>
        </is>
      </c>
      <c r="AI135" s="17" t="n"/>
      <c r="AJ135" s="17" t="inlineStr">
        <is>
          <t>Cabello que necesita un tratamiento intensivo puntual</t>
        </is>
      </c>
      <c r="AK135" s="17" t="inlineStr">
        <is>
          <t>https://haskellcosmeticos.com.br/tratamentos-capilares/supermascaras/</t>
        </is>
      </c>
      <c r="AL135" s="17" t="inlineStr">
        <is>
          <t>2026-07-24</t>
        </is>
      </c>
      <c r="AM135" s="21">
        <f>IF(ISBLANK(Q135),"",Q135*Parametros_PEN!$B$2)</f>
        <v/>
      </c>
      <c r="AN135" s="21">
        <f>IF(ISBLANK(Q135),"",Q135*Parametros_PEN!$B$2*(1+Parametros_PEN!$B$3))</f>
        <v/>
      </c>
      <c r="AO135" s="21">
        <f>IF(ISBLANK(R135),"",R135*Parametros_PEN!$B$2)</f>
        <v/>
      </c>
      <c r="AP135" s="21">
        <f>IF(ISBLANK(R135),"",R135*Parametros_PEN!$B$2*(1+Parametros_PEN!$B$3))</f>
        <v/>
      </c>
    </row>
    <row r="136" ht="46.25" customHeight="1" s="15">
      <c r="A136" s="17" t="inlineStr">
        <is>
          <t>HSK-0135</t>
        </is>
      </c>
      <c r="B136" s="17" t="inlineStr">
        <is>
          <t>supermascarilla-disciplinante-antifrizz-240-g</t>
        </is>
      </c>
      <c r="C136" s="17" t="n"/>
      <c r="D136" s="17" t="inlineStr">
        <is>
          <t>Haskell</t>
        </is>
      </c>
      <c r="E136" s="17" t="inlineStr">
        <is>
          <t>Supermascara Disciplinante Antifrizz 240g</t>
        </is>
      </c>
      <c r="F136" s="17" t="inlineStr">
        <is>
          <t>Supermascarilla disciplinante antifrizz 240 g</t>
        </is>
      </c>
      <c r="G136" s="17" t="inlineStr">
        <is>
          <t>Supermascaras</t>
        </is>
      </c>
      <c r="H136" s="17" t="inlineStr">
        <is>
          <t>Tratamentos Capilares</t>
        </is>
      </c>
      <c r="I136" s="17" t="inlineStr">
        <is>
          <t>Tratamientos capilares</t>
        </is>
      </c>
      <c r="J136" s="17" t="inlineStr">
        <is>
          <t>Tratamento ultraintensivo especializado</t>
        </is>
      </c>
      <c r="K136" s="17" t="inlineStr">
        <is>
          <t>Tratamiento ultraintensivo especializado</t>
        </is>
      </c>
      <c r="L136" s="17" t="inlineStr">
        <is>
          <t>Mascara de Tratamento</t>
        </is>
      </c>
      <c r="M136" s="17" t="inlineStr">
        <is>
          <t>Mascarilla de tratamiento</t>
        </is>
      </c>
      <c r="N136" s="17" t="inlineStr">
        <is>
          <t>240 g</t>
        </is>
      </c>
      <c r="O136" s="17" t="n">
        <v>240</v>
      </c>
      <c r="P136" s="17" t="inlineStr">
        <is>
          <t>g</t>
        </is>
      </c>
      <c r="Q136" s="18" t="n">
        <v>74.90000000000001</v>
      </c>
      <c r="R136" s="18" t="n"/>
      <c r="S136" s="19">
        <f>IF(ISBLANK(R136),0,IFERROR((Q136-R136)/Q136,0))</f>
        <v/>
      </c>
      <c r="T136" s="17">
        <f>R136&lt;&gt;""</f>
        <v/>
      </c>
      <c r="U136" s="17">
        <f>TRUE()</f>
        <v/>
      </c>
      <c r="V136" s="17" t="n"/>
      <c r="W136" s="17" t="inlineStr">
        <is>
          <t>Mascarilla de tratamiento concentrada de la linea Supermascaras, de uso posterior al champu: ofrece un tratamiento concentrado de alto rendimiento para una necesidad especifica del cabello.</t>
        </is>
      </c>
      <c r="X136" s="17" t="n"/>
      <c r="Y136" s="17" t="inlineStr">
        <is>
          <t>Tratamiento concentrado | Actua en profundidad sobre la fibra capilar | Refuerza el resultado de la linea</t>
        </is>
      </c>
      <c r="Z136" s="17" t="n"/>
      <c r="AA136" s="17" t="inlineStr">
        <is>
          <t>Tratamiento intensivo</t>
        </is>
      </c>
      <c r="AB136" s="17" t="n"/>
      <c r="AC136" s="17" t="inlineStr">
        <is>
          <t>Aplicar mechon por mechon despues del champu, dejar actuar de 3 a 5 minutos y enjuagar bien.</t>
        </is>
      </c>
      <c r="AD136" s="17" t="n"/>
      <c r="AE136" s="17" t="n"/>
      <c r="AF136" s="17" t="n"/>
      <c r="AG136" s="17" t="n"/>
      <c r="AH136" s="20" t="inlineStr">
        <is>
          <t>supermascara-disciplinante-antifrizz-240g.webp</t>
        </is>
      </c>
      <c r="AI136" s="17" t="n"/>
      <c r="AJ136" s="17" t="inlineStr">
        <is>
          <t>Cabello que necesita un tratamiento intensivo puntual</t>
        </is>
      </c>
      <c r="AK136" s="17" t="inlineStr">
        <is>
          <t>https://haskellcosmeticos.com.br/tratamentos-capilares/supermascaras/</t>
        </is>
      </c>
      <c r="AL136" s="17" t="inlineStr">
        <is>
          <t>2026-07-24</t>
        </is>
      </c>
      <c r="AM136" s="21">
        <f>IF(ISBLANK(Q136),"",Q136*Parametros_PEN!$B$2)</f>
        <v/>
      </c>
      <c r="AN136" s="21">
        <f>IF(ISBLANK(Q136),"",Q136*Parametros_PEN!$B$2*(1+Parametros_PEN!$B$3))</f>
        <v/>
      </c>
      <c r="AO136" s="21">
        <f>IF(ISBLANK(R136),"",R136*Parametros_PEN!$B$2)</f>
        <v/>
      </c>
      <c r="AP136" s="21">
        <f>IF(ISBLANK(R136),"",R136*Parametros_PEN!$B$2*(1+Parametros_PEN!$B$3))</f>
        <v/>
      </c>
    </row>
    <row r="137" ht="46.25" customHeight="1" s="15">
      <c r="A137" s="17" t="inlineStr">
        <is>
          <t>HSK-0136</t>
        </is>
      </c>
      <c r="B137" s="17" t="inlineStr">
        <is>
          <t>supermascarilla-aceleradora-de-fuerza-240-g</t>
        </is>
      </c>
      <c r="C137" s="17" t="n"/>
      <c r="D137" s="17" t="inlineStr">
        <is>
          <t>Haskell</t>
        </is>
      </c>
      <c r="E137" s="17" t="inlineStr">
        <is>
          <t>Supermascara Aceleradora de Forca 240g</t>
        </is>
      </c>
      <c r="F137" s="17" t="inlineStr">
        <is>
          <t>Supermascarilla aceleradora de fuerza 240 g</t>
        </is>
      </c>
      <c r="G137" s="17" t="inlineStr">
        <is>
          <t>Supermascaras</t>
        </is>
      </c>
      <c r="H137" s="17" t="inlineStr">
        <is>
          <t>Tratamentos Capilares</t>
        </is>
      </c>
      <c r="I137" s="17" t="inlineStr">
        <is>
          <t>Tratamientos capilares</t>
        </is>
      </c>
      <c r="J137" s="17" t="inlineStr">
        <is>
          <t>Tratamento ultraintensivo especializado</t>
        </is>
      </c>
      <c r="K137" s="17" t="inlineStr">
        <is>
          <t>Tratamiento ultraintensivo especializado</t>
        </is>
      </c>
      <c r="L137" s="17" t="inlineStr">
        <is>
          <t>Mascara de Tratamento</t>
        </is>
      </c>
      <c r="M137" s="17" t="inlineStr">
        <is>
          <t>Mascarilla de tratamiento</t>
        </is>
      </c>
      <c r="N137" s="17" t="inlineStr">
        <is>
          <t>240 g</t>
        </is>
      </c>
      <c r="O137" s="17" t="n">
        <v>240</v>
      </c>
      <c r="P137" s="17" t="inlineStr">
        <is>
          <t>g</t>
        </is>
      </c>
      <c r="Q137" s="18" t="n">
        <v>74.90000000000001</v>
      </c>
      <c r="R137" s="18" t="n"/>
      <c r="S137" s="19">
        <f>IF(ISBLANK(R137),0,IFERROR((Q137-R137)/Q137,0))</f>
        <v/>
      </c>
      <c r="T137" s="17">
        <f>R137&lt;&gt;""</f>
        <v/>
      </c>
      <c r="U137" s="17">
        <f>TRUE()</f>
        <v/>
      </c>
      <c r="V137" s="17" t="n"/>
      <c r="W137" s="17" t="inlineStr">
        <is>
          <t>Mascarilla de tratamiento concentrada de la linea Supermascaras, de uso posterior al champu: ofrece un tratamiento concentrado de alto rendimiento para una necesidad especifica del cabello.</t>
        </is>
      </c>
      <c r="X137" s="17" t="n"/>
      <c r="Y137" s="17" t="inlineStr">
        <is>
          <t>Tratamiento concentrado | Actua en profundidad sobre la fibra capilar | Refuerza el resultado de la linea</t>
        </is>
      </c>
      <c r="Z137" s="17" t="n"/>
      <c r="AA137" s="17" t="inlineStr">
        <is>
          <t>Tratamiento intensivo</t>
        </is>
      </c>
      <c r="AB137" s="17" t="n"/>
      <c r="AC137" s="17" t="inlineStr">
        <is>
          <t>Aplicar mechon por mechon despues del champu, dejar actuar de 3 a 5 minutos y enjuagar bien.</t>
        </is>
      </c>
      <c r="AD137" s="17" t="n"/>
      <c r="AE137" s="17" t="n"/>
      <c r="AF137" s="17" t="n"/>
      <c r="AG137" s="17" t="n"/>
      <c r="AH137" s="20" t="inlineStr">
        <is>
          <t>supermascara-aceleradora-de-forca-240g-brinde-1nv4a1.webp</t>
        </is>
      </c>
      <c r="AI137" s="17" t="n"/>
      <c r="AJ137" s="17" t="inlineStr">
        <is>
          <t>Cabello que necesita un tratamiento intensivo puntual</t>
        </is>
      </c>
      <c r="AK137" s="17" t="inlineStr">
        <is>
          <t>https://haskellcosmeticos.com.br/tratamentos-capilares/supermascaras/</t>
        </is>
      </c>
      <c r="AL137" s="17" t="inlineStr">
        <is>
          <t>2026-07-24</t>
        </is>
      </c>
      <c r="AM137" s="21">
        <f>IF(ISBLANK(Q137),"",Q137*Parametros_PEN!$B$2)</f>
        <v/>
      </c>
      <c r="AN137" s="21">
        <f>IF(ISBLANK(Q137),"",Q137*Parametros_PEN!$B$2*(1+Parametros_PEN!$B$3))</f>
        <v/>
      </c>
      <c r="AO137" s="21">
        <f>IF(ISBLANK(R137),"",R137*Parametros_PEN!$B$2)</f>
        <v/>
      </c>
      <c r="AP137" s="21">
        <f>IF(ISBLANK(R137),"",R137*Parametros_PEN!$B$2*(1+Parametros_PEN!$B$3))</f>
        <v/>
      </c>
    </row>
    <row r="138" ht="46.25" customHeight="1" s="15">
      <c r="A138" s="17" t="inlineStr">
        <is>
          <t>HSK-0137</t>
        </is>
      </c>
      <c r="B138" s="17" t="inlineStr">
        <is>
          <t>champu-tutano-vegetal-300-ml</t>
        </is>
      </c>
      <c r="C138" s="17" t="n"/>
      <c r="D138" s="17" t="inlineStr">
        <is>
          <t>Haskell</t>
        </is>
      </c>
      <c r="E138" s="17" t="inlineStr">
        <is>
          <t>Shampoo Tutano Vegetal 300ml</t>
        </is>
      </c>
      <c r="F138" s="17" t="inlineStr">
        <is>
          <t>Champu Tutano Vegetal 300 ml</t>
        </is>
      </c>
      <c r="G138" s="17" t="inlineStr">
        <is>
          <t>Tutano Vegetal</t>
        </is>
      </c>
      <c r="H138" s="17" t="inlineStr">
        <is>
          <t>Tratamentos Capilares</t>
        </is>
      </c>
      <c r="I138" s="17" t="inlineStr">
        <is>
          <t>Tratamientos capilares</t>
        </is>
      </c>
      <c r="J138" s="17" t="inlineStr">
        <is>
          <t>Forca e nutricao profunda</t>
        </is>
      </c>
      <c r="K138" s="17" t="inlineStr">
        <is>
          <t>Fuerza y nutricion profunda</t>
        </is>
      </c>
      <c r="L138" s="17" t="inlineStr">
        <is>
          <t>Shampoo</t>
        </is>
      </c>
      <c r="M138" s="17" t="inlineStr">
        <is>
          <t>Champu</t>
        </is>
      </c>
      <c r="N138" s="17" t="inlineStr">
        <is>
          <t>300 ml</t>
        </is>
      </c>
      <c r="O138" s="17" t="n">
        <v>300</v>
      </c>
      <c r="P138" s="17" t="inlineStr">
        <is>
          <t>ml</t>
        </is>
      </c>
      <c r="Q138" s="18" t="n">
        <v>58.9</v>
      </c>
      <c r="R138" s="18" t="n"/>
      <c r="S138" s="19">
        <f>IF(ISBLANK(R138),0,IFERROR((Q138-R138)/Q138,0))</f>
        <v/>
      </c>
      <c r="T138" s="17">
        <f>R138&lt;&gt;""</f>
        <v/>
      </c>
      <c r="U138" s="17">
        <f>TRUE()</f>
        <v/>
      </c>
      <c r="V138" s="17" t="n"/>
      <c r="W138" s="17" t="inlineStr">
        <is>
          <t>Champu de limpieza suave de la linea Tutano Vegetal, que prepara el cabello para el tratamiento: aporta fuerza y nutricion profunda a cabello fragil, reseco o quebradizo.</t>
        </is>
      </c>
      <c r="X138" s="17" t="n"/>
      <c r="Y138" s="17" t="inlineStr">
        <is>
          <t>Limpieza suave sin resecar | Prepara el cabello para el resto de la rutina | Respeta el equilibrio del cuero cabelludo</t>
        </is>
      </c>
      <c r="Z138" s="17" t="n"/>
      <c r="AA138" s="17" t="inlineStr">
        <is>
          <t>Limpiador suave</t>
        </is>
      </c>
      <c r="AB138" s="17" t="n"/>
      <c r="AC138" s="17" t="inlineStr">
        <is>
          <t>Aplicar sobre el cabello mojado, masajear el cuero cabelludo con movimientos suaves y enjuagar bien.</t>
        </is>
      </c>
      <c r="AD138" s="17" t="inlineStr">
        <is>
          <t>Tutano vegetal (blend de oleos)</t>
        </is>
      </c>
      <c r="AE138" s="17" t="inlineStr">
        <is>
          <t>Tutano vegetal (mezcla de aceites)</t>
        </is>
      </c>
      <c r="AF138" s="17" t="n"/>
      <c r="AG138" s="17" t="n"/>
      <c r="AH138" s="20" t="inlineStr">
        <is>
          <t>shampoo-tutano-vegetal-300ml.webp</t>
        </is>
      </c>
      <c r="AI138" s="17" t="n"/>
      <c r="AJ138" s="17" t="inlineStr">
        <is>
          <t>Cabello fragil, reseco o quebradizo</t>
        </is>
      </c>
      <c r="AK138" s="17" t="inlineStr">
        <is>
          <t>https://haskellcosmeticos.com.br/tratamentos-capilares/linha-tutano-haskell/</t>
        </is>
      </c>
      <c r="AL138" s="17" t="inlineStr">
        <is>
          <t>2026-07-24</t>
        </is>
      </c>
      <c r="AM138" s="21">
        <f>IF(ISBLANK(Q138),"",Q138*Parametros_PEN!$B$2)</f>
        <v/>
      </c>
      <c r="AN138" s="21">
        <f>IF(ISBLANK(Q138),"",Q138*Parametros_PEN!$B$2*(1+Parametros_PEN!$B$3))</f>
        <v/>
      </c>
      <c r="AO138" s="21">
        <f>IF(ISBLANK(R138),"",R138*Parametros_PEN!$B$2)</f>
        <v/>
      </c>
      <c r="AP138" s="21">
        <f>IF(ISBLANK(R138),"",R138*Parametros_PEN!$B$2*(1+Parametros_PEN!$B$3))</f>
        <v/>
      </c>
    </row>
    <row r="139" ht="46.25" customHeight="1" s="15">
      <c r="A139" s="17" t="inlineStr">
        <is>
          <t>HSK-0138</t>
        </is>
      </c>
      <c r="B139" s="17" t="inlineStr">
        <is>
          <t>champu-tutano-vegetal-500-ml</t>
        </is>
      </c>
      <c r="C139" s="17" t="n"/>
      <c r="D139" s="17" t="inlineStr">
        <is>
          <t>Haskell</t>
        </is>
      </c>
      <c r="E139" s="17" t="inlineStr">
        <is>
          <t>Shampoo Tutano Vegetal 500ml</t>
        </is>
      </c>
      <c r="F139" s="17" t="inlineStr">
        <is>
          <t>Champu Tutano Vegetal 500 ml</t>
        </is>
      </c>
      <c r="G139" s="17" t="inlineStr">
        <is>
          <t>Tutano Vegetal</t>
        </is>
      </c>
      <c r="H139" s="17" t="inlineStr">
        <is>
          <t>Tratamentos Capilares</t>
        </is>
      </c>
      <c r="I139" s="17" t="inlineStr">
        <is>
          <t>Tratamientos capilares</t>
        </is>
      </c>
      <c r="J139" s="17" t="inlineStr">
        <is>
          <t>Forca e nutricao profunda</t>
        </is>
      </c>
      <c r="K139" s="17" t="inlineStr">
        <is>
          <t>Fuerza y nutricion profunda</t>
        </is>
      </c>
      <c r="L139" s="17" t="inlineStr">
        <is>
          <t>Shampoo</t>
        </is>
      </c>
      <c r="M139" s="17" t="inlineStr">
        <is>
          <t>Champu</t>
        </is>
      </c>
      <c r="N139" s="17" t="inlineStr">
        <is>
          <t>500 ml</t>
        </is>
      </c>
      <c r="O139" s="17" t="n">
        <v>500</v>
      </c>
      <c r="P139" s="17" t="inlineStr">
        <is>
          <t>ml</t>
        </is>
      </c>
      <c r="Q139" s="18" t="n">
        <v>76.90000000000001</v>
      </c>
      <c r="R139" s="18" t="n"/>
      <c r="S139" s="19">
        <f>IF(ISBLANK(R139),0,IFERROR((Q139-R139)/Q139,0))</f>
        <v/>
      </c>
      <c r="T139" s="17">
        <f>R139&lt;&gt;""</f>
        <v/>
      </c>
      <c r="U139" s="17">
        <f>TRUE()</f>
        <v/>
      </c>
      <c r="V139" s="17" t="n"/>
      <c r="W139" s="17" t="inlineStr">
        <is>
          <t>Champu de limpieza suave de la linea Tutano Vegetal, que prepara el cabello para el tratamiento: aporta fuerza y nutricion profunda a cabello fragil, reseco o quebradizo.</t>
        </is>
      </c>
      <c r="X139" s="17" t="n"/>
      <c r="Y139" s="17" t="inlineStr">
        <is>
          <t>Limpieza suave sin resecar | Prepara el cabello para el resto de la rutina | Respeta el equilibrio del cuero cabelludo</t>
        </is>
      </c>
      <c r="Z139" s="17" t="n"/>
      <c r="AA139" s="17" t="inlineStr">
        <is>
          <t>Limpiador suave</t>
        </is>
      </c>
      <c r="AB139" s="17" t="n"/>
      <c r="AC139" s="17" t="inlineStr">
        <is>
          <t>Aplicar sobre el cabello mojado, masajear el cuero cabelludo con movimientos suaves y enjuagar bien.</t>
        </is>
      </c>
      <c r="AD139" s="17" t="inlineStr">
        <is>
          <t>Tutano vegetal (blend de oleos)</t>
        </is>
      </c>
      <c r="AE139" s="17" t="inlineStr">
        <is>
          <t>Tutano vegetal (mezcla de aceites)</t>
        </is>
      </c>
      <c r="AF139" s="17" t="n"/>
      <c r="AG139" s="17" t="n"/>
      <c r="AH139" s="20" t="inlineStr">
        <is>
          <t>shampoo-tutano-vegetal-500ml.webp</t>
        </is>
      </c>
      <c r="AI139" s="17" t="n"/>
      <c r="AJ139" s="17" t="inlineStr">
        <is>
          <t>Cabello fragil, reseco o quebradizo</t>
        </is>
      </c>
      <c r="AK139" s="17" t="inlineStr">
        <is>
          <t>https://haskellcosmeticos.com.br/tratamentos-capilares/linha-tutano-haskell/</t>
        </is>
      </c>
      <c r="AL139" s="17" t="inlineStr">
        <is>
          <t>2026-07-24</t>
        </is>
      </c>
      <c r="AM139" s="21">
        <f>IF(ISBLANK(Q139),"",Q139*Parametros_PEN!$B$2)</f>
        <v/>
      </c>
      <c r="AN139" s="21">
        <f>IF(ISBLANK(Q139),"",Q139*Parametros_PEN!$B$2*(1+Parametros_PEN!$B$3))</f>
        <v/>
      </c>
      <c r="AO139" s="21">
        <f>IF(ISBLANK(R139),"",R139*Parametros_PEN!$B$2)</f>
        <v/>
      </c>
      <c r="AP139" s="21">
        <f>IF(ISBLANK(R139),"",R139*Parametros_PEN!$B$2*(1+Parametros_PEN!$B$3))</f>
        <v/>
      </c>
    </row>
    <row r="140" ht="46.25" customHeight="1" s="15">
      <c r="A140" s="17" t="inlineStr">
        <is>
          <t>HSK-0139</t>
        </is>
      </c>
      <c r="B140" s="17" t="inlineStr">
        <is>
          <t>champu-tutano-vegetal-1-l</t>
        </is>
      </c>
      <c r="C140" s="17" t="n"/>
      <c r="D140" s="17" t="inlineStr">
        <is>
          <t>Haskell</t>
        </is>
      </c>
      <c r="E140" s="17" t="inlineStr">
        <is>
          <t>Shampoo Tutano Vegetal 1L</t>
        </is>
      </c>
      <c r="F140" s="17" t="inlineStr">
        <is>
          <t>Champu Tutano Vegetal 1 L</t>
        </is>
      </c>
      <c r="G140" s="17" t="inlineStr">
        <is>
          <t>Tutano Vegetal</t>
        </is>
      </c>
      <c r="H140" s="17" t="inlineStr">
        <is>
          <t>Tratamentos Capilares</t>
        </is>
      </c>
      <c r="I140" s="17" t="inlineStr">
        <is>
          <t>Tratamientos capilares</t>
        </is>
      </c>
      <c r="J140" s="17" t="inlineStr">
        <is>
          <t>Forca e nutricao profunda</t>
        </is>
      </c>
      <c r="K140" s="17" t="inlineStr">
        <is>
          <t>Fuerza y nutricion profunda</t>
        </is>
      </c>
      <c r="L140" s="17" t="inlineStr">
        <is>
          <t>Shampoo</t>
        </is>
      </c>
      <c r="M140" s="17" t="inlineStr">
        <is>
          <t>Champu</t>
        </is>
      </c>
      <c r="N140" s="17" t="inlineStr">
        <is>
          <t>1000 ml</t>
        </is>
      </c>
      <c r="O140" s="17" t="n">
        <v>1000</v>
      </c>
      <c r="P140" s="17" t="inlineStr">
        <is>
          <t>ml</t>
        </is>
      </c>
      <c r="Q140" s="18" t="n">
        <v>118.9</v>
      </c>
      <c r="R140" s="18" t="n"/>
      <c r="S140" s="19">
        <f>IF(ISBLANK(R140),0,IFERROR((Q140-R140)/Q140,0))</f>
        <v/>
      </c>
      <c r="T140" s="17">
        <f>R140&lt;&gt;""</f>
        <v/>
      </c>
      <c r="U140" s="17">
        <f>TRUE()</f>
        <v/>
      </c>
      <c r="V140" s="17" t="n"/>
      <c r="W140" s="17" t="inlineStr">
        <is>
          <t>Champu de limpieza suave de la linea Tutano Vegetal, que prepara el cabello para el tratamiento: aporta fuerza y nutricion profunda a cabello fragil, reseco o quebradizo.</t>
        </is>
      </c>
      <c r="X140" s="17" t="n"/>
      <c r="Y140" s="17" t="inlineStr">
        <is>
          <t>Limpieza suave sin resecar | Prepara el cabello para el resto de la rutina | Respeta el equilibrio del cuero cabelludo</t>
        </is>
      </c>
      <c r="Z140" s="17" t="n"/>
      <c r="AA140" s="17" t="inlineStr">
        <is>
          <t>Limpiador suave</t>
        </is>
      </c>
      <c r="AB140" s="17" t="n"/>
      <c r="AC140" s="17" t="inlineStr">
        <is>
          <t>Aplicar sobre el cabello mojado, masajear el cuero cabelludo con movimientos suaves y enjuagar bien.</t>
        </is>
      </c>
      <c r="AD140" s="17" t="inlineStr">
        <is>
          <t>Tutano vegetal (blend de oleos)</t>
        </is>
      </c>
      <c r="AE140" s="17" t="inlineStr">
        <is>
          <t>Tutano vegetal (mezcla de aceites)</t>
        </is>
      </c>
      <c r="AF140" s="17" t="n"/>
      <c r="AG140" s="17" t="n"/>
      <c r="AH140" s="20" t="inlineStr">
        <is>
          <t>shampoo-tutano-vegetal-1l.webp</t>
        </is>
      </c>
      <c r="AI140" s="17" t="n"/>
      <c r="AJ140" s="17" t="inlineStr">
        <is>
          <t>Cabello fragil, reseco o quebradizo</t>
        </is>
      </c>
      <c r="AK140" s="17" t="inlineStr">
        <is>
          <t>https://haskellcosmeticos.com.br/tratamentos-capilares/linha-tutano-haskell/</t>
        </is>
      </c>
      <c r="AL140" s="17" t="inlineStr">
        <is>
          <t>2026-07-24</t>
        </is>
      </c>
      <c r="AM140" s="21">
        <f>IF(ISBLANK(Q140),"",Q140*Parametros_PEN!$B$2)</f>
        <v/>
      </c>
      <c r="AN140" s="21">
        <f>IF(ISBLANK(Q140),"",Q140*Parametros_PEN!$B$2*(1+Parametros_PEN!$B$3))</f>
        <v/>
      </c>
      <c r="AO140" s="21">
        <f>IF(ISBLANK(R140),"",R140*Parametros_PEN!$B$2)</f>
        <v/>
      </c>
      <c r="AP140" s="21">
        <f>IF(ISBLANK(R140),"",R140*Parametros_PEN!$B$2*(1+Parametros_PEN!$B$3))</f>
        <v/>
      </c>
    </row>
    <row r="141" ht="46.25" customHeight="1" s="15">
      <c r="A141" s="17" t="inlineStr">
        <is>
          <t>HSK-0140</t>
        </is>
      </c>
      <c r="B141" s="17" t="inlineStr">
        <is>
          <t>acondicionador-tutano-vegetal-300-ml</t>
        </is>
      </c>
      <c r="C141" s="17" t="n"/>
      <c r="D141" s="17" t="inlineStr">
        <is>
          <t>Haskell</t>
        </is>
      </c>
      <c r="E141" s="17" t="inlineStr">
        <is>
          <t>Condicionador Tutano Vegetal 300ml</t>
        </is>
      </c>
      <c r="F141" s="17" t="inlineStr">
        <is>
          <t>Acondicionador Tutano Vegetal 300 ml</t>
        </is>
      </c>
      <c r="G141" s="17" t="inlineStr">
        <is>
          <t>Tutano Vegetal</t>
        </is>
      </c>
      <c r="H141" s="17" t="inlineStr">
        <is>
          <t>Tratamentos Capilares</t>
        </is>
      </c>
      <c r="I141" s="17" t="inlineStr">
        <is>
          <t>Tratamientos capilares</t>
        </is>
      </c>
      <c r="J141" s="17" t="inlineStr">
        <is>
          <t>Forca e nutricao profunda</t>
        </is>
      </c>
      <c r="K141" s="17" t="inlineStr">
        <is>
          <t>Fuerza y nutricion profunda</t>
        </is>
      </c>
      <c r="L141" s="17" t="inlineStr">
        <is>
          <t>Condicionador</t>
        </is>
      </c>
      <c r="M141" s="17" t="inlineStr">
        <is>
          <t>Acondicionador</t>
        </is>
      </c>
      <c r="N141" s="17" t="inlineStr">
        <is>
          <t>300 ml</t>
        </is>
      </c>
      <c r="O141" s="17" t="n">
        <v>300</v>
      </c>
      <c r="P141" s="17" t="inlineStr">
        <is>
          <t>ml</t>
        </is>
      </c>
      <c r="Q141" s="18" t="n">
        <v>58.9</v>
      </c>
      <c r="R141" s="18" t="n"/>
      <c r="S141" s="19">
        <f>IF(ISBLANK(R141),0,IFERROR((Q141-R141)/Q141,0))</f>
        <v/>
      </c>
      <c r="T141" s="17">
        <f>R141&lt;&gt;""</f>
        <v/>
      </c>
      <c r="U141" s="17">
        <f>TRUE()</f>
        <v/>
      </c>
      <c r="V141" s="17" t="n"/>
      <c r="W141" s="17" t="inlineStr">
        <is>
          <t>Acondicionador de la linea Tutano Vegetal que facilita el desenredado y sella la cuticula: aporta fuerza y nutricion profunda a cabello fragil, reseco o quebradizo.</t>
        </is>
      </c>
      <c r="X141" s="17" t="n"/>
      <c r="Y141" s="17" t="inlineStr">
        <is>
          <t>Facilita el desenredado | Sella la cuticula | Aporta suavidad y brillo</t>
        </is>
      </c>
      <c r="Z141" s="17" t="n"/>
      <c r="AA141" s="17" t="inlineStr">
        <is>
          <t>Acondicionador</t>
        </is>
      </c>
      <c r="AB141" s="17" t="n"/>
      <c r="AC141" s="17" t="inlineStr">
        <is>
          <t>Aplicar en el largo y las puntas del cabello despues del champu, dejar actuar unos minutos y enjuagar.</t>
        </is>
      </c>
      <c r="AD141" s="17" t="inlineStr">
        <is>
          <t>Tutano vegetal (blend de oleos)</t>
        </is>
      </c>
      <c r="AE141" s="17" t="inlineStr">
        <is>
          <t>Tutano vegetal (mezcla de aceites)</t>
        </is>
      </c>
      <c r="AF141" s="17" t="n"/>
      <c r="AG141" s="17" t="n"/>
      <c r="AH141" s="20" t="inlineStr">
        <is>
          <t>condicionador-tutano-vegetal-300ml.webp</t>
        </is>
      </c>
      <c r="AI141" s="17" t="n"/>
      <c r="AJ141" s="17" t="inlineStr">
        <is>
          <t>Cabello fragil, reseco o quebradizo</t>
        </is>
      </c>
      <c r="AK141" s="17" t="inlineStr">
        <is>
          <t>https://haskellcosmeticos.com.br/tratamentos-capilares/linha-tutano-haskell/</t>
        </is>
      </c>
      <c r="AL141" s="17" t="inlineStr">
        <is>
          <t>2026-07-24</t>
        </is>
      </c>
      <c r="AM141" s="21">
        <f>IF(ISBLANK(Q141),"",Q141*Parametros_PEN!$B$2)</f>
        <v/>
      </c>
      <c r="AN141" s="21">
        <f>IF(ISBLANK(Q141),"",Q141*Parametros_PEN!$B$2*(1+Parametros_PEN!$B$3))</f>
        <v/>
      </c>
      <c r="AO141" s="21">
        <f>IF(ISBLANK(R141),"",R141*Parametros_PEN!$B$2)</f>
        <v/>
      </c>
      <c r="AP141" s="21">
        <f>IF(ISBLANK(R141),"",R141*Parametros_PEN!$B$2*(1+Parametros_PEN!$B$3))</f>
        <v/>
      </c>
    </row>
    <row r="142" ht="46.25" customHeight="1" s="15">
      <c r="A142" s="17" t="inlineStr">
        <is>
          <t>HSK-0141</t>
        </is>
      </c>
      <c r="B142" s="17" t="inlineStr">
        <is>
          <t>acondicionador-tutano-vegetal-500-ml</t>
        </is>
      </c>
      <c r="C142" s="17" t="n"/>
      <c r="D142" s="17" t="inlineStr">
        <is>
          <t>Haskell</t>
        </is>
      </c>
      <c r="E142" s="17" t="inlineStr">
        <is>
          <t>Condicionador Tutano Vegetal 500ml</t>
        </is>
      </c>
      <c r="F142" s="17" t="inlineStr">
        <is>
          <t>Acondicionador Tutano Vegetal 500 ml</t>
        </is>
      </c>
      <c r="G142" s="17" t="inlineStr">
        <is>
          <t>Tutano Vegetal</t>
        </is>
      </c>
      <c r="H142" s="17" t="inlineStr">
        <is>
          <t>Tratamentos Capilares</t>
        </is>
      </c>
      <c r="I142" s="17" t="inlineStr">
        <is>
          <t>Tratamientos capilares</t>
        </is>
      </c>
      <c r="J142" s="17" t="inlineStr">
        <is>
          <t>Forca e nutricao profunda</t>
        </is>
      </c>
      <c r="K142" s="17" t="inlineStr">
        <is>
          <t>Fuerza y nutricion profunda</t>
        </is>
      </c>
      <c r="L142" s="17" t="inlineStr">
        <is>
          <t>Condicionador</t>
        </is>
      </c>
      <c r="M142" s="17" t="inlineStr">
        <is>
          <t>Acondicionador</t>
        </is>
      </c>
      <c r="N142" s="17" t="inlineStr">
        <is>
          <t>500 ml</t>
        </is>
      </c>
      <c r="O142" s="17" t="n">
        <v>500</v>
      </c>
      <c r="P142" s="17" t="inlineStr">
        <is>
          <t>ml</t>
        </is>
      </c>
      <c r="Q142" s="18" t="n">
        <v>76.90000000000001</v>
      </c>
      <c r="R142" s="18" t="n"/>
      <c r="S142" s="19">
        <f>IF(ISBLANK(R142),0,IFERROR((Q142-R142)/Q142,0))</f>
        <v/>
      </c>
      <c r="T142" s="17">
        <f>R142&lt;&gt;""</f>
        <v/>
      </c>
      <c r="U142" s="17">
        <f>TRUE()</f>
        <v/>
      </c>
      <c r="V142" s="17" t="n"/>
      <c r="W142" s="17" t="inlineStr">
        <is>
          <t>Acondicionador de la linea Tutano Vegetal que facilita el desenredado y sella la cuticula: aporta fuerza y nutricion profunda a cabello fragil, reseco o quebradizo.</t>
        </is>
      </c>
      <c r="X142" s="17" t="n"/>
      <c r="Y142" s="17" t="inlineStr">
        <is>
          <t>Facilita el desenredado | Sella la cuticula | Aporta suavidad y brillo</t>
        </is>
      </c>
      <c r="Z142" s="17" t="n"/>
      <c r="AA142" s="17" t="inlineStr">
        <is>
          <t>Acondicionador</t>
        </is>
      </c>
      <c r="AB142" s="17" t="n"/>
      <c r="AC142" s="17" t="inlineStr">
        <is>
          <t>Aplicar en el largo y las puntas del cabello despues del champu, dejar actuar unos minutos y enjuagar.</t>
        </is>
      </c>
      <c r="AD142" s="17" t="inlineStr">
        <is>
          <t>Tutano vegetal (blend de oleos)</t>
        </is>
      </c>
      <c r="AE142" s="17" t="inlineStr">
        <is>
          <t>Tutano vegetal (mezcla de aceites)</t>
        </is>
      </c>
      <c r="AF142" s="17" t="n"/>
      <c r="AG142" s="17" t="n"/>
      <c r="AH142" s="20" t="inlineStr">
        <is>
          <t>condicionador-tutano-vegetal-500ml.webp</t>
        </is>
      </c>
      <c r="AI142" s="17" t="n"/>
      <c r="AJ142" s="17" t="inlineStr">
        <is>
          <t>Cabello fragil, reseco o quebradizo</t>
        </is>
      </c>
      <c r="AK142" s="17" t="inlineStr">
        <is>
          <t>https://haskellcosmeticos.com.br/tratamentos-capilares/linha-tutano-haskell/</t>
        </is>
      </c>
      <c r="AL142" s="17" t="inlineStr">
        <is>
          <t>2026-07-24</t>
        </is>
      </c>
      <c r="AM142" s="21">
        <f>IF(ISBLANK(Q142),"",Q142*Parametros_PEN!$B$2)</f>
        <v/>
      </c>
      <c r="AN142" s="21">
        <f>IF(ISBLANK(Q142),"",Q142*Parametros_PEN!$B$2*(1+Parametros_PEN!$B$3))</f>
        <v/>
      </c>
      <c r="AO142" s="21">
        <f>IF(ISBLANK(R142),"",R142*Parametros_PEN!$B$2)</f>
        <v/>
      </c>
      <c r="AP142" s="21">
        <f>IF(ISBLANK(R142),"",R142*Parametros_PEN!$B$2*(1+Parametros_PEN!$B$3))</f>
        <v/>
      </c>
    </row>
    <row r="143" ht="46.25" customHeight="1" s="15">
      <c r="A143" s="17" t="inlineStr">
        <is>
          <t>HSK-0142</t>
        </is>
      </c>
      <c r="B143" s="17" t="inlineStr">
        <is>
          <t>acondicionador-tutano-vegetal-1-l</t>
        </is>
      </c>
      <c r="C143" s="17" t="n"/>
      <c r="D143" s="17" t="inlineStr">
        <is>
          <t>Haskell</t>
        </is>
      </c>
      <c r="E143" s="17" t="inlineStr">
        <is>
          <t>Condicionador Tutano Vegetal 1L</t>
        </is>
      </c>
      <c r="F143" s="17" t="inlineStr">
        <is>
          <t>Acondicionador Tutano Vegetal 1 L</t>
        </is>
      </c>
      <c r="G143" s="17" t="inlineStr">
        <is>
          <t>Tutano Vegetal</t>
        </is>
      </c>
      <c r="H143" s="17" t="inlineStr">
        <is>
          <t>Tratamentos Capilares</t>
        </is>
      </c>
      <c r="I143" s="17" t="inlineStr">
        <is>
          <t>Tratamientos capilares</t>
        </is>
      </c>
      <c r="J143" s="17" t="inlineStr">
        <is>
          <t>Forca e nutricao profunda</t>
        </is>
      </c>
      <c r="K143" s="17" t="inlineStr">
        <is>
          <t>Fuerza y nutricion profunda</t>
        </is>
      </c>
      <c r="L143" s="17" t="inlineStr">
        <is>
          <t>Condicionador</t>
        </is>
      </c>
      <c r="M143" s="17" t="inlineStr">
        <is>
          <t>Acondicionador</t>
        </is>
      </c>
      <c r="N143" s="17" t="inlineStr">
        <is>
          <t>1000 ml</t>
        </is>
      </c>
      <c r="O143" s="17" t="n">
        <v>1000</v>
      </c>
      <c r="P143" s="17" t="inlineStr">
        <is>
          <t>ml</t>
        </is>
      </c>
      <c r="Q143" s="18" t="n">
        <v>118.9</v>
      </c>
      <c r="R143" s="18" t="n"/>
      <c r="S143" s="19">
        <f>IF(ISBLANK(R143),0,IFERROR((Q143-R143)/Q143,0))</f>
        <v/>
      </c>
      <c r="T143" s="17">
        <f>R143&lt;&gt;""</f>
        <v/>
      </c>
      <c r="U143" s="17">
        <f>TRUE()</f>
        <v/>
      </c>
      <c r="V143" s="17" t="n"/>
      <c r="W143" s="17" t="inlineStr">
        <is>
          <t>Acondicionador de la linea Tutano Vegetal que facilita el desenredado y sella la cuticula: aporta fuerza y nutricion profunda a cabello fragil, reseco o quebradizo.</t>
        </is>
      </c>
      <c r="X143" s="17" t="n"/>
      <c r="Y143" s="17" t="inlineStr">
        <is>
          <t>Facilita el desenredado | Sella la cuticula | Aporta suavidad y brillo</t>
        </is>
      </c>
      <c r="Z143" s="17" t="n"/>
      <c r="AA143" s="17" t="inlineStr">
        <is>
          <t>Acondicionador</t>
        </is>
      </c>
      <c r="AB143" s="17" t="n"/>
      <c r="AC143" s="17" t="inlineStr">
        <is>
          <t>Aplicar en el largo y las puntas del cabello despues del champu, dejar actuar unos minutos y enjuagar.</t>
        </is>
      </c>
      <c r="AD143" s="17" t="inlineStr">
        <is>
          <t>Tutano vegetal (blend de oleos)</t>
        </is>
      </c>
      <c r="AE143" s="17" t="inlineStr">
        <is>
          <t>Tutano vegetal (mezcla de aceites)</t>
        </is>
      </c>
      <c r="AF143" s="17" t="n"/>
      <c r="AG143" s="17" t="n"/>
      <c r="AH143" s="20" t="inlineStr">
        <is>
          <t>condicionador-tutano-vegetal-1l.webp</t>
        </is>
      </c>
      <c r="AI143" s="17" t="n"/>
      <c r="AJ143" s="17" t="inlineStr">
        <is>
          <t>Cabello fragil, reseco o quebradizo</t>
        </is>
      </c>
      <c r="AK143" s="17" t="inlineStr">
        <is>
          <t>https://haskellcosmeticos.com.br/tratamentos-capilares/linha-tutano-haskell/</t>
        </is>
      </c>
      <c r="AL143" s="17" t="inlineStr">
        <is>
          <t>2026-07-24</t>
        </is>
      </c>
      <c r="AM143" s="21">
        <f>IF(ISBLANK(Q143),"",Q143*Parametros_PEN!$B$2)</f>
        <v/>
      </c>
      <c r="AN143" s="21">
        <f>IF(ISBLANK(Q143),"",Q143*Parametros_PEN!$B$2*(1+Parametros_PEN!$B$3))</f>
        <v/>
      </c>
      <c r="AO143" s="21">
        <f>IF(ISBLANK(R143),"",R143*Parametros_PEN!$B$2)</f>
        <v/>
      </c>
      <c r="AP143" s="21">
        <f>IF(ISBLANK(R143),"",R143*Parametros_PEN!$B$2*(1+Parametros_PEN!$B$3))</f>
        <v/>
      </c>
    </row>
    <row r="144" ht="46.25" customHeight="1" s="15">
      <c r="A144" s="17" t="inlineStr">
        <is>
          <t>HSK-0143</t>
        </is>
      </c>
      <c r="B144" s="17" t="inlineStr">
        <is>
          <t>mascarilla-de-tratamiento-tutano-vegetal-300-g</t>
        </is>
      </c>
      <c r="C144" s="17" t="n"/>
      <c r="D144" s="17" t="inlineStr">
        <is>
          <t>Haskell</t>
        </is>
      </c>
      <c r="E144" s="17" t="inlineStr">
        <is>
          <t>Mascara de Tratamento Tutano Vegetal 300g</t>
        </is>
      </c>
      <c r="F144" s="17" t="inlineStr">
        <is>
          <t>Mascarilla de tratamiento Tutano Vegetal 300 g</t>
        </is>
      </c>
      <c r="G144" s="17" t="inlineStr">
        <is>
          <t>Tutano Vegetal</t>
        </is>
      </c>
      <c r="H144" s="17" t="inlineStr">
        <is>
          <t>Tratamentos Capilares</t>
        </is>
      </c>
      <c r="I144" s="17" t="inlineStr">
        <is>
          <t>Tratamientos capilares</t>
        </is>
      </c>
      <c r="J144" s="17" t="inlineStr">
        <is>
          <t>Forca e nutricao profunda</t>
        </is>
      </c>
      <c r="K144" s="17" t="inlineStr">
        <is>
          <t>Fuerza y nutricion profunda</t>
        </is>
      </c>
      <c r="L144" s="17" t="inlineStr">
        <is>
          <t>Mascara de Tratamento</t>
        </is>
      </c>
      <c r="M144" s="17" t="inlineStr">
        <is>
          <t>Mascarilla de tratamiento</t>
        </is>
      </c>
      <c r="N144" s="17" t="inlineStr">
        <is>
          <t>300 g</t>
        </is>
      </c>
      <c r="O144" s="17" t="n">
        <v>300</v>
      </c>
      <c r="P144" s="17" t="inlineStr">
        <is>
          <t>g</t>
        </is>
      </c>
      <c r="Q144" s="18" t="n">
        <v>68.90000000000001</v>
      </c>
      <c r="R144" s="18" t="n"/>
      <c r="S144" s="19">
        <f>IF(ISBLANK(R144),0,IFERROR((Q144-R144)/Q144,0))</f>
        <v/>
      </c>
      <c r="T144" s="17">
        <f>R144&lt;&gt;""</f>
        <v/>
      </c>
      <c r="U144" s="17">
        <f>TRUE()</f>
        <v/>
      </c>
      <c r="V144" s="17" t="n"/>
      <c r="W144" s="17" t="inlineStr">
        <is>
          <t>Mascarilla de tratamiento concentrada de la linea Tutano Vegetal, de uso posterior al champu: aporta fuerza y nutricion profunda a cabello fragil, reseco o quebradizo.</t>
        </is>
      </c>
      <c r="X144" s="17" t="n"/>
      <c r="Y144" s="17" t="inlineStr">
        <is>
          <t>Tratamiento concentrado | Actua en profundidad sobre la fibra capilar | Refuerza el resultado de la linea</t>
        </is>
      </c>
      <c r="Z144" s="17" t="n"/>
      <c r="AA144" s="17" t="inlineStr">
        <is>
          <t>Tratamiento intensivo</t>
        </is>
      </c>
      <c r="AB144" s="17" t="n"/>
      <c r="AC144" s="17" t="inlineStr">
        <is>
          <t>Aplicar mechon por mechon despues del champu, dejar actuar de 3 a 5 minutos y enjuagar bien.</t>
        </is>
      </c>
      <c r="AD144" s="17" t="inlineStr">
        <is>
          <t>Tutano vegetal (blend de oleos)</t>
        </is>
      </c>
      <c r="AE144" s="17" t="inlineStr">
        <is>
          <t>Tutano vegetal (mezcla de aceites)</t>
        </is>
      </c>
      <c r="AF144" s="17" t="n"/>
      <c r="AG144" s="17" t="n"/>
      <c r="AH144" s="20" t="inlineStr">
        <is>
          <t>mascara-de-tratamento-tutano-vegetal-300g.webp</t>
        </is>
      </c>
      <c r="AI144" s="17" t="n"/>
      <c r="AJ144" s="17" t="inlineStr">
        <is>
          <t>Cabello fragil, reseco o quebradizo</t>
        </is>
      </c>
      <c r="AK144" s="17" t="inlineStr">
        <is>
          <t>https://haskellcosmeticos.com.br/tratamentos-capilares/linha-tutano-haskell/</t>
        </is>
      </c>
      <c r="AL144" s="17" t="inlineStr">
        <is>
          <t>2026-07-24</t>
        </is>
      </c>
      <c r="AM144" s="21">
        <f>IF(ISBLANK(Q144),"",Q144*Parametros_PEN!$B$2)</f>
        <v/>
      </c>
      <c r="AN144" s="21">
        <f>IF(ISBLANK(Q144),"",Q144*Parametros_PEN!$B$2*(1+Parametros_PEN!$B$3))</f>
        <v/>
      </c>
      <c r="AO144" s="21">
        <f>IF(ISBLANK(R144),"",R144*Parametros_PEN!$B$2)</f>
        <v/>
      </c>
      <c r="AP144" s="21">
        <f>IF(ISBLANK(R144),"",R144*Parametros_PEN!$B$2*(1+Parametros_PEN!$B$3))</f>
        <v/>
      </c>
    </row>
  </sheetData>
  <autoFilter ref="A1:AP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55" customWidth="1" style="14" min="1" max="1"/>
    <col width="14" customWidth="1" style="14" min="2" max="2"/>
  </cols>
  <sheetData>
    <row r="1" ht="15" customHeight="1" s="15">
      <c r="A1" s="22" t="inlineStr">
        <is>
          <t>Parametro</t>
        </is>
      </c>
      <c r="B1" s="22" t="inlineStr">
        <is>
          <t>Valor</t>
        </is>
      </c>
    </row>
    <row r="2" ht="15" customHeight="1" s="15">
      <c r="A2" s="14" t="inlineStr">
        <is>
          <t>Tipo de cambio (soles PEN por 1 real BRL)</t>
        </is>
      </c>
      <c r="B2" s="23" t="n">
        <v>0.67</v>
      </c>
    </row>
    <row r="3" ht="15" customHeight="1" s="15">
      <c r="A3" s="14" t="inlineStr">
        <is>
          <t>Margen sobre el precio convertido para fijar el PVP en Peru</t>
        </is>
      </c>
      <c r="B3" s="24" t="n">
        <v>0.25</v>
      </c>
    </row>
    <row r="5" ht="15" customHeight="1" s="15">
      <c r="A5" s="25" t="inlineStr">
        <is>
          <t>Formula aplicada</t>
        </is>
      </c>
    </row>
    <row r="6" ht="15" customHeight="1" s="15">
      <c r="A6" s="26" t="inlineStr">
        <is>
          <t>precio_pen = precio_brl x tipo_cambio</t>
        </is>
      </c>
    </row>
    <row r="7" ht="15" customHeight="1" s="15">
      <c r="A7" s="26" t="inlineStr">
        <is>
          <t>pvp_peru_pen = precio_pen x (1 + margen)</t>
        </is>
      </c>
    </row>
    <row r="9" ht="15" customHeight="1" s="15">
      <c r="A9" s="25" t="inlineStr">
        <is>
          <t>Nota</t>
        </is>
      </c>
    </row>
    <row r="10" ht="45" customHeight="1" s="15">
      <c r="A10" s="17" t="inlineStr">
        <is>
          <t>Celdas B2 y B3 son los unicos valores editables. El resto del catalogo (hoja Productos) usa formulas que apuntan a estas dos celdas: si se actualiza el tipo de cambio o el margen aca, todos los precios en soles y el PVP se recalculan automaticamente en toda la hoja Productos.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3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26" customWidth="1" style="14" min="1" max="6"/>
  </cols>
  <sheetData>
    <row r="1" ht="23.85" customHeight="1" s="15">
      <c r="A1" s="27" t="inlineStr">
        <is>
          <t>categoria_original_pt</t>
        </is>
      </c>
      <c r="B1" s="27" t="inlineStr">
        <is>
          <t>categoria_es</t>
        </is>
      </c>
      <c r="C1" s="27" t="inlineStr">
        <is>
          <t>linea</t>
        </is>
      </c>
      <c r="D1" s="27" t="inlineStr">
        <is>
          <t>subcategoria_original_pt</t>
        </is>
      </c>
      <c r="E1" s="27" t="inlineStr">
        <is>
          <t>subcategoria_es</t>
        </is>
      </c>
      <c r="F1" s="27" t="inlineStr">
        <is>
          <t>cantidad_productos_en_muestra</t>
        </is>
      </c>
    </row>
    <row r="2" ht="15" customHeight="1" s="15">
      <c r="A2" s="26" t="inlineStr">
        <is>
          <t>Tratamentos Capilares</t>
        </is>
      </c>
      <c r="B2" s="26" t="inlineStr">
        <is>
          <t>Tratamientos capilares</t>
        </is>
      </c>
      <c r="C2" s="26" t="inlineStr">
        <is>
          <t>Acidificante</t>
        </is>
      </c>
      <c r="D2" s="26" t="inlineStr">
        <is>
          <t>Reconstrucao pos-quimica</t>
        </is>
      </c>
      <c r="E2" s="26" t="inlineStr">
        <is>
          <t>Reconstruccion post-quimica</t>
        </is>
      </c>
      <c r="F2" s="26" t="n">
        <v>3</v>
      </c>
    </row>
    <row r="3" ht="15" customHeight="1" s="15">
      <c r="A3" s="26" t="inlineStr">
        <is>
          <t>Tratamentos Capilares</t>
        </is>
      </c>
      <c r="B3" s="26" t="inlineStr">
        <is>
          <t>Tratamientos capilares</t>
        </is>
      </c>
      <c r="C3" s="26" t="inlineStr">
        <is>
          <t>Acidificante Matizadora</t>
        </is>
      </c>
      <c r="D3" s="26" t="inlineStr">
        <is>
          <t>Matizacao acida</t>
        </is>
      </c>
      <c r="E3" s="26" t="inlineStr">
        <is>
          <t>Matizacion acida para cabello rubio o canoso</t>
        </is>
      </c>
      <c r="F3" s="26" t="n">
        <v>3</v>
      </c>
    </row>
    <row r="4" ht="15" customHeight="1" s="15">
      <c r="A4" s="26" t="inlineStr">
        <is>
          <t>Tratamentos Capilares</t>
        </is>
      </c>
      <c r="B4" s="26" t="inlineStr">
        <is>
          <t>Tratamientos capilares</t>
        </is>
      </c>
      <c r="C4" s="26" t="inlineStr">
        <is>
          <t>Ametista Desamareladora</t>
        </is>
      </c>
      <c r="D4" s="26" t="inlineStr">
        <is>
          <t>Desamarelamento gradual</t>
        </is>
      </c>
      <c r="E4" s="26" t="inlineStr">
        <is>
          <t>Desamarillamiento gradual</t>
        </is>
      </c>
      <c r="F4" s="26" t="n">
        <v>4</v>
      </c>
    </row>
    <row r="5" ht="15" customHeight="1" s="15">
      <c r="A5" s="26" t="inlineStr">
        <is>
          <t>Tratamentos Capilares</t>
        </is>
      </c>
      <c r="B5" s="26" t="inlineStr">
        <is>
          <t>Tratamientos capilares</t>
        </is>
      </c>
      <c r="C5" s="26" t="inlineStr">
        <is>
          <t>Bananeira Pos-Quimica</t>
        </is>
      </c>
      <c r="D5" s="26" t="inlineStr">
        <is>
          <t>Reposicao de massa pos-quimica</t>
        </is>
      </c>
      <c r="E5" s="26" t="inlineStr">
        <is>
          <t>Reposicion de masa capilar post-quimica</t>
        </is>
      </c>
      <c r="F5" s="26" t="n">
        <v>8</v>
      </c>
    </row>
    <row r="6" ht="15" customHeight="1" s="15">
      <c r="A6" s="26" t="inlineStr">
        <is>
          <t>Tratamentos Capilares</t>
        </is>
      </c>
      <c r="B6" s="26" t="inlineStr">
        <is>
          <t>Tratamientos capilares</t>
        </is>
      </c>
      <c r="C6" s="26" t="inlineStr">
        <is>
          <t>Bendito Loiro</t>
        </is>
      </c>
      <c r="D6" s="26" t="inlineStr">
        <is>
          <t>Cabelos descoloridos</t>
        </is>
      </c>
      <c r="E6" s="26" t="inlineStr">
        <is>
          <t>Cabello decolorado</t>
        </is>
      </c>
      <c r="F6" s="26" t="n">
        <v>6</v>
      </c>
    </row>
    <row r="7" ht="15" customHeight="1" s="15">
      <c r="A7" s="26" t="inlineStr">
        <is>
          <t>Tratamentos Capilares</t>
        </is>
      </c>
      <c r="B7" s="26" t="inlineStr">
        <is>
          <t>Tratamientos capilares</t>
        </is>
      </c>
      <c r="C7" s="26" t="inlineStr">
        <is>
          <t>Cachos Sim!</t>
        </is>
      </c>
      <c r="D7" s="26" t="inlineStr">
        <is>
          <t>Cuidado de cachos</t>
        </is>
      </c>
      <c r="E7" s="26" t="inlineStr">
        <is>
          <t>Cuidado de rizos</t>
        </is>
      </c>
      <c r="F7" s="26" t="n">
        <v>4</v>
      </c>
    </row>
    <row r="8" ht="15" customHeight="1" s="15">
      <c r="A8" s="26" t="inlineStr">
        <is>
          <t>Tratamentos Capilares</t>
        </is>
      </c>
      <c r="B8" s="26" t="inlineStr">
        <is>
          <t>Tratamientos capilares</t>
        </is>
      </c>
      <c r="C8" s="26" t="inlineStr">
        <is>
          <t>Cavalo Forte</t>
        </is>
      </c>
      <c r="D8" s="26" t="inlineStr">
        <is>
          <t>Fortalecimento</t>
        </is>
      </c>
      <c r="E8" s="26" t="inlineStr">
        <is>
          <t>Fortalecimiento capilar</t>
        </is>
      </c>
      <c r="F8" s="26" t="n">
        <v>1</v>
      </c>
    </row>
    <row r="9" ht="15" customHeight="1" s="15">
      <c r="A9" s="26" t="inlineStr">
        <is>
          <t>Tratamentos Capilares</t>
        </is>
      </c>
      <c r="B9" s="26" t="inlineStr">
        <is>
          <t>Tratamientos capilares</t>
        </is>
      </c>
      <c r="C9" s="26" t="inlineStr">
        <is>
          <t>Cavalo Forte Hidra</t>
        </is>
      </c>
      <c r="D9" s="26" t="inlineStr">
        <is>
          <t>Hidratacao profunda</t>
        </is>
      </c>
      <c r="E9" s="26" t="inlineStr">
        <is>
          <t>Hidratacion profunda</t>
        </is>
      </c>
      <c r="F9" s="26" t="n">
        <v>7</v>
      </c>
    </row>
    <row r="10" ht="15" customHeight="1" s="15">
      <c r="A10" s="26" t="inlineStr">
        <is>
          <t>Tratamentos Capilares</t>
        </is>
      </c>
      <c r="B10" s="26" t="inlineStr">
        <is>
          <t>Tratamientos capilares</t>
        </is>
      </c>
      <c r="C10" s="26" t="inlineStr">
        <is>
          <t>Doce de Leite Vicosa</t>
        </is>
      </c>
      <c r="D10" s="26" t="inlineStr">
        <is>
          <t>Colecao corpo e cabelo perfumada</t>
        </is>
      </c>
      <c r="E10" s="26" t="inlineStr">
        <is>
          <t>Coleccion de cuidado corporal y capilar perfumada</t>
        </is>
      </c>
      <c r="F10" s="26" t="n">
        <v>3</v>
      </c>
    </row>
    <row r="11" ht="15" customHeight="1" s="15">
      <c r="A11" s="26" t="inlineStr">
        <is>
          <t>Tratamentos Capilares</t>
        </is>
      </c>
      <c r="B11" s="26" t="inlineStr">
        <is>
          <t>Tratamientos capilares</t>
        </is>
      </c>
      <c r="C11" s="26" t="inlineStr">
        <is>
          <t>Encorpa Cabelo</t>
        </is>
      </c>
      <c r="D11" s="26" t="inlineStr">
        <is>
          <t>Volume para cabelo fino</t>
        </is>
      </c>
      <c r="E11" s="26" t="inlineStr">
        <is>
          <t>Volumen para cabello fino</t>
        </is>
      </c>
      <c r="F11" s="26" t="n">
        <v>7</v>
      </c>
    </row>
    <row r="12" ht="15" customHeight="1" s="15">
      <c r="A12" s="26" t="inlineStr">
        <is>
          <t>Tratamentos Capilares</t>
        </is>
      </c>
      <c r="B12" s="26" t="inlineStr">
        <is>
          <t>Tratamientos capilares</t>
        </is>
      </c>
      <c r="C12" s="26" t="inlineStr">
        <is>
          <t>Frizz Cancelado</t>
        </is>
      </c>
      <c r="D12" s="26" t="inlineStr">
        <is>
          <t>Controle de frizz</t>
        </is>
      </c>
      <c r="E12" s="26" t="inlineStr">
        <is>
          <t>Control del frizz</t>
        </is>
      </c>
      <c r="F12" s="26" t="n">
        <v>3</v>
      </c>
    </row>
    <row r="13" ht="15" customHeight="1" s="15">
      <c r="A13" s="26" t="inlineStr">
        <is>
          <t>Tratamentos Capilares</t>
        </is>
      </c>
      <c r="B13" s="26" t="inlineStr">
        <is>
          <t>Tratamientos capilares</t>
        </is>
      </c>
      <c r="C13" s="26" t="inlineStr">
        <is>
          <t>Hidranutre</t>
        </is>
      </c>
      <c r="D13" s="26" t="inlineStr">
        <is>
          <t>Hidratacao e nutricao combinadas</t>
        </is>
      </c>
      <c r="E13" s="26" t="inlineStr">
        <is>
          <t>Hidratacion y nutricion combinadas</t>
        </is>
      </c>
      <c r="F13" s="26" t="n">
        <v>8</v>
      </c>
    </row>
    <row r="14" ht="15" customHeight="1" s="15">
      <c r="A14" s="26" t="inlineStr">
        <is>
          <t>Tratamentos Capilares</t>
        </is>
      </c>
      <c r="B14" s="26" t="inlineStr">
        <is>
          <t>Tratamientos capilares</t>
        </is>
      </c>
      <c r="C14" s="26" t="inlineStr">
        <is>
          <t>Infusao de Oleos</t>
        </is>
      </c>
      <c r="D14" s="26" t="inlineStr">
        <is>
          <t>Nutricao ultraprofunda</t>
        </is>
      </c>
      <c r="E14" s="26" t="inlineStr">
        <is>
          <t>Nutricion ultraprofunda</t>
        </is>
      </c>
      <c r="F14" s="26" t="n">
        <v>6</v>
      </c>
    </row>
    <row r="15" ht="15" customHeight="1" s="15">
      <c r="A15" s="26" t="inlineStr">
        <is>
          <t>Tratamentos Capilares</t>
        </is>
      </c>
      <c r="B15" s="26" t="inlineStr">
        <is>
          <t>Tratamientos capilares</t>
        </is>
      </c>
      <c r="C15" s="26" t="inlineStr">
        <is>
          <t>Jaborandi Antiqueda</t>
        </is>
      </c>
      <c r="D15" s="26" t="inlineStr">
        <is>
          <t>Anti-queda</t>
        </is>
      </c>
      <c r="E15" s="26" t="inlineStr">
        <is>
          <t>Anticaida</t>
        </is>
      </c>
      <c r="F15" s="26" t="n">
        <v>7</v>
      </c>
    </row>
    <row r="16" ht="15" customHeight="1" s="15">
      <c r="A16" s="26" t="inlineStr">
        <is>
          <t>Tratamentos Capilares</t>
        </is>
      </c>
      <c r="B16" s="26" t="inlineStr">
        <is>
          <t>Tratamientos capilares</t>
        </is>
      </c>
      <c r="C16" s="26" t="inlineStr">
        <is>
          <t>Liso com Forca</t>
        </is>
      </c>
      <c r="D16" s="26" t="inlineStr">
        <is>
          <t>Alinhamento e controle de frizz</t>
        </is>
      </c>
      <c r="E16" s="26" t="inlineStr">
        <is>
          <t>Alineado y control de frizz</t>
        </is>
      </c>
      <c r="F16" s="26" t="n">
        <v>7</v>
      </c>
    </row>
    <row r="17" ht="15" customHeight="1" s="15">
      <c r="A17" s="26" t="inlineStr">
        <is>
          <t>Tratamentos Capilares</t>
        </is>
      </c>
      <c r="B17" s="26" t="inlineStr">
        <is>
          <t>Tratamientos capilares</t>
        </is>
      </c>
      <c r="C17" s="26" t="inlineStr">
        <is>
          <t>Mandioca</t>
        </is>
      </c>
      <c r="D17" s="26" t="inlineStr">
        <is>
          <t>Forca e hidratacao</t>
        </is>
      </c>
      <c r="E17" s="26" t="inlineStr">
        <is>
          <t>Fuerza e hidratacion</t>
        </is>
      </c>
      <c r="F17" s="26" t="n">
        <v>1</v>
      </c>
    </row>
    <row r="18" ht="15" customHeight="1" s="15">
      <c r="A18" s="26" t="inlineStr">
        <is>
          <t>Tratamentos Capilares</t>
        </is>
      </c>
      <c r="B18" s="26" t="inlineStr">
        <is>
          <t>Tratamientos capilares</t>
        </is>
      </c>
      <c r="C18" s="26" t="inlineStr">
        <is>
          <t>Matcha</t>
        </is>
      </c>
      <c r="D18" s="26" t="inlineStr">
        <is>
          <t>Controle da oleosidade</t>
        </is>
      </c>
      <c r="E18" s="26" t="inlineStr">
        <is>
          <t>Control de la grasitud capilar</t>
        </is>
      </c>
      <c r="F18" s="26" t="n">
        <v>4</v>
      </c>
    </row>
    <row r="19" ht="15" customHeight="1" s="15">
      <c r="A19" s="26" t="inlineStr">
        <is>
          <t>Tratamentos Capilares</t>
        </is>
      </c>
      <c r="B19" s="26" t="inlineStr">
        <is>
          <t>Tratamientos capilares</t>
        </is>
      </c>
      <c r="C19" s="26" t="inlineStr">
        <is>
          <t>Matiza+</t>
        </is>
      </c>
      <c r="D19" s="26" t="inlineStr">
        <is>
          <t>Matizacao violeta e ultravioleta</t>
        </is>
      </c>
      <c r="E19" s="26" t="inlineStr">
        <is>
          <t>Matizacion violeta y ultravioleta</t>
        </is>
      </c>
      <c r="F19" s="26" t="n">
        <v>5</v>
      </c>
    </row>
    <row r="20" ht="15" customHeight="1" s="15">
      <c r="A20" s="26" t="inlineStr">
        <is>
          <t>Tratamentos Capilares</t>
        </is>
      </c>
      <c r="B20" s="26" t="inlineStr">
        <is>
          <t>Tratamientos capilares</t>
        </is>
      </c>
      <c r="C20" s="26" t="inlineStr">
        <is>
          <t>Murumuru</t>
        </is>
      </c>
      <c r="D20" s="26" t="inlineStr">
        <is>
          <t>Nutricao intensa</t>
        </is>
      </c>
      <c r="E20" s="26" t="inlineStr">
        <is>
          <t>Nutricion intensa</t>
        </is>
      </c>
      <c r="F20" s="26" t="n">
        <v>2</v>
      </c>
    </row>
    <row r="21" ht="15" customHeight="1" s="15">
      <c r="A21" s="26" t="inlineStr">
        <is>
          <t>Tratamentos Capilares</t>
        </is>
      </c>
      <c r="B21" s="26" t="inlineStr">
        <is>
          <t>Tratamientos capilares</t>
        </is>
      </c>
      <c r="C21" s="26" t="inlineStr">
        <is>
          <t>Ora-pro-nobis</t>
        </is>
      </c>
      <c r="D21" s="26" t="inlineStr">
        <is>
          <t>Forca extrema</t>
        </is>
      </c>
      <c r="E21" s="26" t="inlineStr">
        <is>
          <t>Fuerza extrema</t>
        </is>
      </c>
      <c r="F21" s="26" t="n">
        <v>7</v>
      </c>
    </row>
    <row r="22" ht="15" customHeight="1" s="15">
      <c r="A22" s="26" t="inlineStr">
        <is>
          <t>Tratamentos Capilares</t>
        </is>
      </c>
      <c r="B22" s="26" t="inlineStr">
        <is>
          <t>Tratamientos capilares</t>
        </is>
      </c>
      <c r="C22" s="26" t="inlineStr">
        <is>
          <t>Pos-Progressiva</t>
        </is>
      </c>
      <c r="D22" s="26" t="inlineStr">
        <is>
          <t>Manutencao do alisamento</t>
        </is>
      </c>
      <c r="E22" s="26" t="inlineStr">
        <is>
          <t>Mantenimiento de alisado</t>
        </is>
      </c>
      <c r="F22" s="26" t="n">
        <v>7</v>
      </c>
    </row>
    <row r="23" ht="15" customHeight="1" s="15">
      <c r="A23" s="26" t="inlineStr">
        <is>
          <t>Tratamentos Capilares</t>
        </is>
      </c>
      <c r="B23" s="26" t="inlineStr">
        <is>
          <t>Tratamientos capilares</t>
        </is>
      </c>
      <c r="C23" s="26" t="inlineStr">
        <is>
          <t>Pra Eles (H)</t>
        </is>
      </c>
      <c r="D23" s="26" t="inlineStr">
        <is>
          <t>Linha masculina</t>
        </is>
      </c>
      <c r="E23" s="26" t="inlineStr">
        <is>
          <t>Linea masculina</t>
        </is>
      </c>
      <c r="F23" s="26" t="n">
        <v>4</v>
      </c>
    </row>
    <row r="24" ht="15" customHeight="1" s="15">
      <c r="A24" s="26" t="inlineStr">
        <is>
          <t>Tratamentos Capilares</t>
        </is>
      </c>
      <c r="B24" s="26" t="inlineStr">
        <is>
          <t>Tratamientos capilares</t>
        </is>
      </c>
      <c r="C24" s="26" t="inlineStr">
        <is>
          <t>Pre-Treino</t>
        </is>
      </c>
      <c r="D24" s="26" t="inlineStr">
        <is>
          <t>Protecao para atividade fisica</t>
        </is>
      </c>
      <c r="E24" s="26" t="inlineStr">
        <is>
          <t>Proteccion para actividad fisica</t>
        </is>
      </c>
      <c r="F24" s="26" t="n">
        <v>1</v>
      </c>
    </row>
    <row r="25" ht="15" customHeight="1" s="15">
      <c r="A25" s="26" t="inlineStr">
        <is>
          <t>Tratamentos Capilares</t>
        </is>
      </c>
      <c r="B25" s="26" t="inlineStr">
        <is>
          <t>Tratamientos capilares</t>
        </is>
      </c>
      <c r="C25" s="26" t="inlineStr">
        <is>
          <t>Queratina &amp; Provit B5</t>
        </is>
      </c>
      <c r="D25" s="26" t="inlineStr">
        <is>
          <t>Reconstrucao proteica</t>
        </is>
      </c>
      <c r="E25" s="26" t="inlineStr">
        <is>
          <t>Reconstruccion proteica</t>
        </is>
      </c>
      <c r="F25" s="26" t="n">
        <v>1</v>
      </c>
    </row>
    <row r="26" ht="15" customHeight="1" s="15">
      <c r="A26" s="26" t="inlineStr">
        <is>
          <t>Tratamentos Capilares</t>
        </is>
      </c>
      <c r="B26" s="26" t="inlineStr">
        <is>
          <t>Tratamientos capilares</t>
        </is>
      </c>
      <c r="C26" s="26" t="inlineStr">
        <is>
          <t>Quina Rosa</t>
        </is>
      </c>
      <c r="D26" s="26" t="inlineStr">
        <is>
          <t>Brilho e controle de frizz</t>
        </is>
      </c>
      <c r="E26" s="26" t="inlineStr">
        <is>
          <t>Brillo y control de frizz</t>
        </is>
      </c>
      <c r="F26" s="26" t="n">
        <v>8</v>
      </c>
    </row>
    <row r="27" ht="15" customHeight="1" s="15">
      <c r="A27" s="26" t="inlineStr">
        <is>
          <t>Tratamentos Capilares</t>
        </is>
      </c>
      <c r="B27" s="26" t="inlineStr">
        <is>
          <t>Tratamientos capilares</t>
        </is>
      </c>
      <c r="C27" s="26" t="inlineStr">
        <is>
          <t>S.O.S Verao</t>
        </is>
      </c>
      <c r="D27" s="26" t="inlineStr">
        <is>
          <t>Protecao solar e contra cloro</t>
        </is>
      </c>
      <c r="E27" s="26" t="inlineStr">
        <is>
          <t>Proteccion solar y contra el cloro</t>
        </is>
      </c>
      <c r="F27" s="26" t="n">
        <v>3</v>
      </c>
    </row>
    <row r="28" ht="15" customHeight="1" s="15">
      <c r="A28" s="26" t="inlineStr">
        <is>
          <t>Tratamentos Capilares</t>
        </is>
      </c>
      <c r="B28" s="26" t="inlineStr">
        <is>
          <t>Tratamientos capilares</t>
        </is>
      </c>
      <c r="C28" s="26" t="inlineStr">
        <is>
          <t>Se Curve</t>
        </is>
      </c>
      <c r="D28" s="26" t="inlineStr">
        <is>
          <t>Cuidado para cabelo cacheado, crespo e ondulado</t>
        </is>
      </c>
      <c r="E28" s="26" t="inlineStr">
        <is>
          <t>Cuidado para cabello rizado, ondulado y afro</t>
        </is>
      </c>
      <c r="F28" s="26" t="n">
        <v>13</v>
      </c>
    </row>
    <row r="29" ht="15" customHeight="1" s="15">
      <c r="A29" s="26" t="inlineStr">
        <is>
          <t>Tratamentos Capilares</t>
        </is>
      </c>
      <c r="B29" s="26" t="inlineStr">
        <is>
          <t>Tratamientos capilares</t>
        </is>
      </c>
      <c r="C29" s="26" t="inlineStr">
        <is>
          <t>Supermascaras</t>
        </is>
      </c>
      <c r="D29" s="26" t="inlineStr">
        <is>
          <t>Tratamento ultraintensivo especializado</t>
        </is>
      </c>
      <c r="E29" s="26" t="inlineStr">
        <is>
          <t>Tratamiento ultraintensivo especializado</t>
        </is>
      </c>
      <c r="F29" s="26" t="n">
        <v>3</v>
      </c>
    </row>
    <row r="30" ht="15" customHeight="1" s="15">
      <c r="A30" s="26" t="inlineStr">
        <is>
          <t>Tratamentos Capilares</t>
        </is>
      </c>
      <c r="B30" s="26" t="inlineStr">
        <is>
          <t>Tratamientos capilares</t>
        </is>
      </c>
      <c r="C30" s="26" t="inlineStr">
        <is>
          <t>Tutano Vegetal</t>
        </is>
      </c>
      <c r="D30" s="26" t="inlineStr">
        <is>
          <t>Forca e nutricao profunda</t>
        </is>
      </c>
      <c r="E30" s="26" t="inlineStr">
        <is>
          <t>Fuerza y nutricion profunda</t>
        </is>
      </c>
      <c r="F30" s="26" t="n">
        <v>7</v>
      </c>
    </row>
    <row r="32" ht="15" customHeight="1" s="15">
      <c r="E32" s="25" t="inlineStr">
        <is>
          <t>Total productos en la muestra:</t>
        </is>
      </c>
      <c r="F32" s="25">
        <f>SUM(F2:F30)</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4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10" customWidth="1" style="14" min="1" max="1"/>
  </cols>
  <sheetData>
    <row r="1" ht="15" customHeight="1" s="15">
      <c r="A1" s="28" t="inlineStr">
        <is>
          <t>Fuente</t>
        </is>
      </c>
    </row>
    <row r="2" ht="45" customHeight="1" s="15">
      <c r="A2" s="17" t="inlineStr">
        <is>
          <t>https://haskellcosmeticos.com.br/ — paginas publicas de linea dentro de Tratamentos Capilares (sin login, sin CAPTCHA evadido).</t>
        </is>
      </c>
    </row>
    <row r="4" ht="15" customHeight="1" s="15">
      <c r="A4" s="28" t="inlineStr">
        <is>
          <t>Fecha de extraccion</t>
        </is>
      </c>
    </row>
    <row r="5" ht="45" customHeight="1" s="15">
      <c r="A5" s="17" t="inlineStr">
        <is>
          <t>2026-07-24</t>
        </is>
      </c>
    </row>
    <row r="7" ht="15" customHeight="1" s="15">
      <c r="A7" s="28" t="inlineStr">
        <is>
          <t>Alcance de esta version</t>
        </is>
      </c>
    </row>
    <row r="8" ht="45" customHeight="1" s="15">
      <c r="A8" s="17" t="inlineStr">
        <is>
          <t>143 productos reales, en 29 lineas (todas las lineas de Tratamentos Capilares publicadas en el sitio al momento de la extraccion). Se excluyeron los KITS (combos de productos ya listados de forma individual) para no duplicar filas. En 2 lineas (Mandioca, Queratina &amp; Provit B5) la pagina solo mostraba precio individual confirmado para 1 producto — el resto de los items mencionados en el texto de la linea no tenian precio individual visible en la grilla (solo en kits), por lo que no se incluyeron para no inventar precios.</t>
        </is>
      </c>
    </row>
    <row r="10" ht="15" customHeight="1" s="15">
      <c r="A10" s="28" t="inlineStr">
        <is>
          <t>Como se obtuvo</t>
        </is>
      </c>
    </row>
    <row r="11" ht="45" customHeight="1" s="15">
      <c r="A11" s="17" t="inlineStr">
        <is>
          <t>Navegacion directa a las paginas publicas de cada una de las 29 lineas y lectura del texto renderizado (nombre, tamano, precio regular y de oferta en BRL, activos principales). No se uso el exportador Playwright del paquete original; para el catalogo 100% completo (incluyendo kits, coloracion y variantes no publicadas en paginas de linea) corresponde ejecutar 'npm run scrape' del exportador ya entregado.</t>
        </is>
      </c>
    </row>
    <row r="13" ht="15" customHeight="1" s="15">
      <c r="A13" s="28" t="inlineStr">
        <is>
          <t>Redaccion de descripciones, beneficios y modo de uso</t>
        </is>
      </c>
    </row>
    <row r="14" ht="45" customHeight="1" s="15">
      <c r="A14" s="17" t="inlineStr">
        <is>
          <t>IMPORTANTE: a diferencia de los primeros 20 productos (redactados a mano, ficha por ficha), los 123 productos agregados en esta version usan una redaccion generada a partir de plantillas propias por tipo de producto (champu, acondicionador, mascarilla, leave-in, tonico, etc.) combinadas con el proposito de cada linea. Esto se hizo asi para poder cubrir el catalogo completo en un tiempo razonable. El contenido es original (no es traduccion literal de los textos de marketing del sitio) y describe funciones genericas y reales del tipo de producto, pero es menos especifico que si cada ficha se hubiera redactado individualmente. Los activos y precios si son especificos de cada linea/producto.</t>
        </is>
      </c>
    </row>
    <row r="16" ht="15" customHeight="1" s="15">
      <c r="A16" s="28" t="inlineStr">
        <is>
          <t>Precios</t>
        </is>
      </c>
    </row>
    <row r="17" ht="45" customHeight="1" s="15">
      <c r="A17" s="17" t="inlineStr">
        <is>
          <t>Todos los precios son los publicados en BRL (real brasileno) al momento de la extraccion. Cuando la pagina de linea mostraba precio de oferta ademas del regular, se cargaron ambos (precio_oferta_brl); si no se mostraba oferta, la columna queda vacia y en_oferta = FALSO. No se inventaron descuentos.</t>
        </is>
      </c>
    </row>
    <row r="19" ht="15" customHeight="1" s="15">
      <c r="A19" s="28" t="inlineStr">
        <is>
          <t>SKU</t>
        </is>
      </c>
    </row>
    <row r="20" ht="45" customHeight="1" s="15">
      <c r="A20" s="17" t="inlineStr">
        <is>
          <t>El sitio publico no muestra codigos SKU en las paginas de linea — la columna queda vacia (null), tal como contempla la especificacion original (seccion 7, ejemplo de JSON).</t>
        </is>
      </c>
    </row>
    <row r="22" ht="15" customHeight="1" s="15">
      <c r="A22" s="28" t="inlineStr">
        <is>
          <t>Traduccion</t>
        </is>
      </c>
    </row>
    <row r="23" ht="45" customHeight="1" s="15">
      <c r="A23" s="17" t="inlineStr">
        <is>
          <t>Espanol neutro latinoamericano. Se evito el voseo argentino (tenes/podes) y el che; se uso el modo impersonal/infinitivo en las instrucciones de uso, valido en toda America Latina. Se conservaron sin traducir los nombres de marca y de linea (Cavalo Forte, Se Curve, Jaborandi, etc.).</t>
        </is>
      </c>
    </row>
    <row r="25" ht="15" customHeight="1" s="15">
      <c r="A25" s="28" t="inlineStr">
        <is>
          <t>Ingredientes INCI</t>
        </is>
      </c>
    </row>
    <row r="26" ht="45" customHeight="1" s="15">
      <c r="A26" s="17" t="inlineStr">
        <is>
          <t>No se incluyen en esta version: la lista de ingredientes tecnicos (INCI) solo aparece en la ficha individual de cada producto, no en la pagina de linea. Columna 'ingredientes_originales' queda vacia; se completa al correr el exportador completo, que si visita cada ficha.</t>
        </is>
      </c>
    </row>
    <row r="28" ht="15" customHeight="1" s="15">
      <c r="A28" s="28" t="inlineStr">
        <is>
          <t>Imagenes</t>
        </is>
      </c>
    </row>
    <row r="29" ht="45" customHeight="1" s="15">
      <c r="A29" s="17" t="inlineStr">
        <is>
          <t>No se descargaron ni referenciaron URLs de imagen (las paginas de linea muestran imagenes por CSS/carrusel, no como URL de producto individual estable). Las columnas de imagen quedan vacias; se completan con el exportador completo (seccion 5 de la especificacion, DOWNLOAD_IMAGES=true).</t>
        </is>
      </c>
    </row>
    <row r="31" ht="15" customHeight="1" s="15">
      <c r="A31" s="28" t="inlineStr">
        <is>
          <t>Kits excluidos</t>
        </is>
      </c>
    </row>
    <row r="32" ht="45" customHeight="1" s="15">
      <c r="A32" s="17" t="inlineStr">
        <is>
          <t>Las 29 lineas tienen ademas decenas de KITS (combos de 2 a 7 productos con descuento) que no se cargaron como filas propias para evitar duplicar los productos individuales que ya los componen. Si se necesitan como SKU de venta aparte, se pueden agregar en una pasada posterior.</t>
        </is>
      </c>
    </row>
    <row r="34" ht="15" customHeight="1" s="15">
      <c r="A34" s="28" t="inlineStr">
        <is>
          <t>Deduplicacion</t>
        </is>
      </c>
    </row>
    <row r="35" ht="45" customHeight="1" s="15">
      <c r="A35" s="17" t="inlineStr">
        <is>
          <t>Clave usada: slug generado a partir de nombre_es (linea 15 de la especificacion original). El esquema Postgres (esquema_postgres.sql) declara slug UNIQUE y sku UNIQUE (nullable) para que la carga real deduplique igual.</t>
        </is>
      </c>
    </row>
    <row r="37" ht="15" customHeight="1" s="15">
      <c r="A37" s="28" t="inlineStr">
        <is>
          <t>Decisiones pendientes heredadas de la especificacion (seccion 21)</t>
        </is>
      </c>
    </row>
    <row r="38" ht="45" customHeight="1" s="15">
      <c r="A38" s="17" t="inlineStr">
        <is>
          <t>Conversion BRL a PEN, si cada presentacion es un producto o una variante (aqui se modelo como variante en el esquema Postgres), si los kits se separan en componentes, alcance final de traduccion (basica vs. IA), y destino final de la carga (frontend / PostgreSQL / Odoo / los tres).</t>
        </is>
      </c>
    </row>
    <row r="40" ht="15" customHeight="1" s="15">
      <c r="A40" s="28" t="inlineStr">
        <is>
          <t>Proximo paso sugerido</t>
        </is>
      </c>
    </row>
    <row r="41" ht="45" customHeight="1" s="15">
      <c r="A41" s="17" t="inlineStr">
        <is>
          <t>1) Revisar esta version ampliada (143 productos, 29 lineas). 2) Si se necesita redaccion ficha por ficha (no por plantilla) para las 123 lineas agregadas, o se necesitan los kits, avisar para una pasada adicional. 3) Ejecutar el exportador completo (npm run scrape) para INCI, imagenes y coloracion. 4) Cargar el resultado en el esquema Postgres adjunto (esquema_postgres.sql). 5) Vincular cada 'sku' resultante con CatalogLine.sku del backend de la plataforma comercial.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2026-07-24T18:03:49Z</dcterms:created>
  <dcterms:modified xmlns:dcterms="http://purl.org/dc/terms/" xmlns:xsi="http://www.w3.org/2001/XMLSchema-instance" xsi:type="dcterms:W3CDTF">2026-07-24T23:12:44Z</dcterms:modified>
  <cp:revision>0</cp:revision>
</cp:coreProperties>
</file>